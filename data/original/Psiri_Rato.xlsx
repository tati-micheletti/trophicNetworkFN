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et\Documents\GitHub\trophicNetworkFN\data\original\"/>
    </mc:Choice>
  </mc:AlternateContent>
  <xr:revisionPtr revIDLastSave="0" documentId="13_ncr:1_{0DDC368A-1418-4CA7-9266-7D16311B00A8}" xr6:coauthVersionLast="47" xr6:coauthVersionMax="47" xr10:uidLastSave="{00000000-0000-0000-0000-000000000000}"/>
  <bookViews>
    <workbookView xWindow="-108" yWindow="-108" windowWidth="23256" windowHeight="13896" tabRatio="686" activeTab="2" xr2:uid="{00000000-000D-0000-FFFF-FFFF00000000}"/>
  </bookViews>
  <sheets>
    <sheet name="Planilha Inicial" sheetId="1" r:id="rId1"/>
    <sheet name="Rato_Volume" sheetId="2" r:id="rId2"/>
    <sheet name="rat_vol" sheetId="7" r:id="rId3"/>
    <sheet name="Rato_Abundância" sheetId="3" r:id="rId4"/>
    <sheet name="rat_abund" sheetId="8" r:id="rId5"/>
    <sheet name="PSIRI_Rato" sheetId="4" r:id="rId6"/>
    <sheet name="Grafico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2" l="1"/>
  <c r="C13" i="2"/>
  <c r="D13" i="2"/>
  <c r="E15" i="2" s="1"/>
  <c r="E13" i="2"/>
  <c r="F13" i="2"/>
  <c r="G13" i="2"/>
  <c r="B13" i="2"/>
  <c r="B16" i="2"/>
  <c r="L7" i="6" l="1"/>
  <c r="L2" i="6"/>
  <c r="I3" i="4"/>
  <c r="I8" i="4"/>
  <c r="I11" i="4" s="1"/>
  <c r="E27" i="4"/>
  <c r="F27" i="4" s="1"/>
  <c r="G27" i="4" s="1"/>
  <c r="H27" i="4" s="1"/>
  <c r="I27" i="4" s="1"/>
  <c r="E28" i="4"/>
  <c r="F28" i="4" s="1"/>
  <c r="G28" i="4" s="1"/>
  <c r="H28" i="4" s="1"/>
  <c r="I28" i="4" s="1"/>
  <c r="E29" i="4"/>
  <c r="F29" i="4" s="1"/>
  <c r="G29" i="4" s="1"/>
  <c r="H29" i="4" s="1"/>
  <c r="I29" i="4" s="1"/>
  <c r="E30" i="4"/>
  <c r="F30" i="4" s="1"/>
  <c r="G30" i="4" s="1"/>
  <c r="H30" i="4" s="1"/>
  <c r="I30" i="4" s="1"/>
  <c r="E31" i="4"/>
  <c r="F31" i="4" s="1"/>
  <c r="G31" i="4" s="1"/>
  <c r="H31" i="4" s="1"/>
  <c r="I31" i="4" s="1"/>
  <c r="E26" i="4"/>
  <c r="F26" i="4" s="1"/>
  <c r="G26" i="4" s="1"/>
  <c r="H26" i="4" s="1"/>
  <c r="I26" i="4" s="1"/>
  <c r="H3" i="4"/>
  <c r="C3" i="4" l="1"/>
  <c r="M10" i="3" l="1"/>
  <c r="J10" i="3"/>
  <c r="O10" i="3" s="1"/>
  <c r="I11" i="3"/>
  <c r="C12" i="3"/>
  <c r="D12" i="3"/>
  <c r="E12" i="3"/>
  <c r="F12" i="3"/>
  <c r="G12" i="3"/>
  <c r="B12" i="3"/>
  <c r="H7" i="3"/>
  <c r="K7" i="3" s="1"/>
  <c r="H8" i="3"/>
  <c r="N8" i="3" s="1"/>
  <c r="H9" i="3"/>
  <c r="J9" i="3" s="1"/>
  <c r="O9" i="3" s="1"/>
  <c r="H10" i="3"/>
  <c r="H11" i="3"/>
  <c r="J11" i="3" s="1"/>
  <c r="C12" i="2"/>
  <c r="D12" i="2"/>
  <c r="E12" i="2"/>
  <c r="F12" i="2"/>
  <c r="G12" i="2"/>
  <c r="B12" i="2"/>
  <c r="H8" i="2"/>
  <c r="J8" i="2" s="1"/>
  <c r="H9" i="2"/>
  <c r="J9" i="2" s="1"/>
  <c r="H10" i="2"/>
  <c r="H11" i="2"/>
  <c r="J11" i="2" s="1"/>
  <c r="H7" i="2"/>
  <c r="M7" i="2" s="1"/>
  <c r="K8" i="3" l="1"/>
  <c r="I11" i="2"/>
  <c r="M7" i="3"/>
  <c r="J8" i="3"/>
  <c r="O8" i="3" s="1"/>
  <c r="O11" i="3"/>
  <c r="J7" i="3"/>
  <c r="O9" i="2"/>
  <c r="K7" i="2"/>
  <c r="J10" i="2"/>
  <c r="O11" i="2"/>
  <c r="J7" i="2"/>
  <c r="K8" i="2"/>
  <c r="M10" i="2"/>
  <c r="I8" i="2"/>
  <c r="N8" i="2"/>
  <c r="H8" i="4"/>
  <c r="H11" i="4"/>
  <c r="E18" i="4"/>
  <c r="F18" i="4" s="1"/>
  <c r="G18" i="4" s="1"/>
  <c r="H18" i="4" s="1"/>
  <c r="E19" i="4"/>
  <c r="F19" i="4" s="1"/>
  <c r="G19" i="4" s="1"/>
  <c r="H19" i="4" s="1"/>
  <c r="E20" i="4"/>
  <c r="F20" i="4" s="1"/>
  <c r="G20" i="4" s="1"/>
  <c r="H20" i="4" s="1"/>
  <c r="E21" i="4"/>
  <c r="F21" i="4" s="1"/>
  <c r="G21" i="4" s="1"/>
  <c r="H21" i="4" s="1"/>
  <c r="E22" i="4"/>
  <c r="F22" i="4" s="1"/>
  <c r="G22" i="4" s="1"/>
  <c r="H22" i="4" s="1"/>
  <c r="E17" i="4"/>
  <c r="F17" i="4" s="1"/>
  <c r="G17" i="4" s="1"/>
  <c r="H17" i="4" s="1"/>
  <c r="E4" i="4"/>
  <c r="E5" i="4"/>
  <c r="E6" i="4"/>
  <c r="E7" i="4"/>
  <c r="E9" i="4"/>
  <c r="E10" i="4"/>
  <c r="C4" i="4"/>
  <c r="C5" i="4"/>
  <c r="C6" i="4"/>
  <c r="C7" i="4"/>
  <c r="C9" i="4"/>
  <c r="C10" i="4"/>
  <c r="D8" i="4"/>
  <c r="E8" i="4" s="1"/>
  <c r="D3" i="4"/>
  <c r="E3" i="4" s="1"/>
  <c r="C8" i="4"/>
  <c r="H3" i="3"/>
  <c r="K3" i="3" s="1"/>
  <c r="H4" i="3"/>
  <c r="H5" i="3"/>
  <c r="L5" i="3" s="1"/>
  <c r="H6" i="3"/>
  <c r="H2" i="3"/>
  <c r="K2" i="3" s="1"/>
  <c r="H2" i="2"/>
  <c r="K2" i="2" s="1"/>
  <c r="H3" i="2"/>
  <c r="K3" i="2" s="1"/>
  <c r="H4" i="2"/>
  <c r="K4" i="2" s="1"/>
  <c r="H6" i="2"/>
  <c r="K6" i="2" s="1"/>
  <c r="O6" i="2" s="1"/>
  <c r="H5" i="2"/>
  <c r="L5" i="2" s="1"/>
  <c r="K12" i="2" l="1"/>
  <c r="I2" i="3"/>
  <c r="N2" i="2"/>
  <c r="J12" i="3"/>
  <c r="O7" i="3"/>
  <c r="N2" i="3"/>
  <c r="L2" i="3"/>
  <c r="L12" i="3" s="1"/>
  <c r="I5" i="3"/>
  <c r="O5" i="3" s="1"/>
  <c r="M4" i="3"/>
  <c r="M3" i="3"/>
  <c r="M12" i="3" s="1"/>
  <c r="K6" i="3"/>
  <c r="O6" i="3" s="1"/>
  <c r="K4" i="3"/>
  <c r="I2" i="2"/>
  <c r="L2" i="2"/>
  <c r="L12" i="2" s="1"/>
  <c r="J12" i="2"/>
  <c r="M3" i="2"/>
  <c r="M12" i="2" s="1"/>
  <c r="M4" i="2"/>
  <c r="O4" i="2" s="1"/>
  <c r="I5" i="2"/>
  <c r="O5" i="2" s="1"/>
  <c r="O10" i="2"/>
  <c r="O8" i="2"/>
  <c r="O7" i="2"/>
  <c r="N12" i="3" l="1"/>
  <c r="K14" i="3"/>
  <c r="N12" i="2"/>
  <c r="M14" i="2"/>
  <c r="O2" i="3"/>
  <c r="I14" i="3"/>
  <c r="L14" i="2"/>
  <c r="I12" i="3"/>
  <c r="I14" i="2"/>
  <c r="L14" i="3"/>
  <c r="K12" i="3"/>
  <c r="O4" i="3"/>
  <c r="O3" i="3"/>
  <c r="O3" i="2"/>
  <c r="O2" i="2"/>
  <c r="I12" i="2"/>
</calcChain>
</file>

<file path=xl/sharedStrings.xml><?xml version="1.0" encoding="utf-8"?>
<sst xmlns="http://schemas.openxmlformats.org/spreadsheetml/2006/main" count="351" uniqueCount="73">
  <si>
    <t>MÊS</t>
  </si>
  <si>
    <t>ANO</t>
  </si>
  <si>
    <t>ESPÉCIE</t>
  </si>
  <si>
    <t>ID</t>
  </si>
  <si>
    <t>Tecido Animal</t>
  </si>
  <si>
    <t>N Tecido Animal</t>
  </si>
  <si>
    <t>Escamas</t>
  </si>
  <si>
    <t>Tecido Vegetal</t>
  </si>
  <si>
    <t>N Tecido Vegetal</t>
  </si>
  <si>
    <t>Sementes</t>
  </si>
  <si>
    <t>N Sementes</t>
  </si>
  <si>
    <t>Insetos</t>
  </si>
  <si>
    <t>N Inseto</t>
  </si>
  <si>
    <t>Carrapato</t>
  </si>
  <si>
    <t>N Carrapato</t>
  </si>
  <si>
    <t>OUT</t>
  </si>
  <si>
    <t>Rattus rattus</t>
  </si>
  <si>
    <t>RR01</t>
  </si>
  <si>
    <t>RR02</t>
  </si>
  <si>
    <t>RR03</t>
  </si>
  <si>
    <t>RR04</t>
  </si>
  <si>
    <t>RR05</t>
  </si>
  <si>
    <t>Rattus norvegicus</t>
  </si>
  <si>
    <t>RN01</t>
  </si>
  <si>
    <t>Total</t>
  </si>
  <si>
    <t>TOTAL</t>
  </si>
  <si>
    <t>FO</t>
  </si>
  <si>
    <t>MÉDIA</t>
  </si>
  <si>
    <t>PV%</t>
  </si>
  <si>
    <t>Item</t>
  </si>
  <si>
    <t>Média</t>
  </si>
  <si>
    <t>Contagem</t>
  </si>
  <si>
    <t>TecidoVegetal</t>
  </si>
  <si>
    <t>Inseto</t>
  </si>
  <si>
    <t>SOMA (N)</t>
  </si>
  <si>
    <t>PN%</t>
  </si>
  <si>
    <t>item</t>
  </si>
  <si>
    <t>N</t>
  </si>
  <si>
    <t>Itens Alimentares</t>
  </si>
  <si>
    <t>PV %</t>
  </si>
  <si>
    <t>%PSIRI</t>
  </si>
  <si>
    <t xml:space="preserve">FO    </t>
  </si>
  <si>
    <t>FO%</t>
  </si>
  <si>
    <t>N%</t>
  </si>
  <si>
    <t>x</t>
  </si>
  <si>
    <t xml:space="preserve">   Animal NI</t>
  </si>
  <si>
    <t xml:space="preserve">   Inseto</t>
  </si>
  <si>
    <t xml:space="preserve">   Carrapato</t>
  </si>
  <si>
    <t xml:space="preserve">   Vegetal NI</t>
  </si>
  <si>
    <t xml:space="preserve">   Sementes</t>
  </si>
  <si>
    <t>%PSIRI = [(%PN + %PM)* %FO] / 2/100</t>
  </si>
  <si>
    <t>ITENS</t>
  </si>
  <si>
    <t>PN %</t>
  </si>
  <si>
    <t>PN% + PV%</t>
  </si>
  <si>
    <t>x FO%</t>
  </si>
  <si>
    <t>/2</t>
  </si>
  <si>
    <t>/100</t>
  </si>
  <si>
    <t xml:space="preserve">   Réptil</t>
  </si>
  <si>
    <t>ABRIL</t>
  </si>
  <si>
    <t>#06</t>
  </si>
  <si>
    <t>#07</t>
  </si>
  <si>
    <t>#08</t>
  </si>
  <si>
    <t>#09</t>
  </si>
  <si>
    <t>#10</t>
  </si>
  <si>
    <t>Réptil</t>
  </si>
  <si>
    <t>N Réptil</t>
  </si>
  <si>
    <t>com todas as amostras/ sem R.norvegicus</t>
  </si>
  <si>
    <t>metade das amostras/ com R. norv</t>
  </si>
  <si>
    <t>TODAS AS AMOSTRAS/ SEM R. norvegicus</t>
  </si>
  <si>
    <t>Tecido Animal NI</t>
  </si>
  <si>
    <t>TecidoVegetal NI</t>
  </si>
  <si>
    <t>Vegetal NI</t>
  </si>
  <si>
    <t>correção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</si>
</sst>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11" xfId="0" applyBorder="1"/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/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Fill="1" applyBorder="1"/>
    <xf numFmtId="2" fontId="0" fillId="0" borderId="0" xfId="0" applyNumberFormat="1" applyFill="1" applyBorder="1" applyAlignment="1">
      <alignment horizontal="center"/>
    </xf>
    <xf numFmtId="2" fontId="4" fillId="0" borderId="0" xfId="0" applyNumberFormat="1" applyFont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13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5F5F"/>
      <color rgb="FFDDDDDD"/>
      <color rgb="FFB2B2B2"/>
      <color rgb="FF808080"/>
      <color rgb="FF333333"/>
      <color rgb="FF080808"/>
      <color rgb="FF1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>
                <a:solidFill>
                  <a:sysClr val="windowText" lastClr="000000"/>
                </a:solidFill>
              </a:rPr>
              <a:t>Contribuição presa-específica na dieta de </a:t>
            </a:r>
            <a:r>
              <a:rPr lang="pt-BR" i="1" baseline="0">
                <a:solidFill>
                  <a:sysClr val="windowText" lastClr="000000"/>
                </a:solidFill>
              </a:rPr>
              <a:t>Rattus sp.</a:t>
            </a:r>
          </a:p>
        </c:rich>
      </c:tx>
      <c:layout>
        <c:manualLayout>
          <c:xMode val="edge"/>
          <c:yMode val="edge"/>
          <c:x val="0.13211350804815922"/>
          <c:y val="5.0241545893719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Animal NI</c:v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0.15205675006519959"/>
                  <c:y val="2.618224060264210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rPr>
                      <a:t>Animal NI</a:t>
                    </a:r>
                  </a:p>
                  <a:p>
                    <a:pPr>
                      <a:defRPr b="1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defRPr>
                    </a:pPr>
                    <a:r>
                      <a:rPr lang="en-US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rPr>
                      <a:t>13,15</a:t>
                    </a:r>
                  </a:p>
                </c:rich>
              </c:tx>
              <c:spPr>
                <a:solidFill>
                  <a:srgbClr val="5F5F5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8934"/>
                        <a:gd name="adj2" fmla="val -96771"/>
                      </a:avLst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6B-7D99-4098-86A1-D49636A0C810}"/>
                </c:ext>
              </c:extLst>
            </c:dLbl>
            <c:spPr>
              <a:solidFill>
                <a:srgbClr val="5F5F5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Graficos!$G$3:$H$3</c:f>
              <c:numCache>
                <c:formatCode>General</c:formatCode>
                <c:ptCount val="2"/>
                <c:pt idx="0">
                  <c:v>16.57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9-4098-86A1-D49636A0C810}"/>
            </c:ext>
          </c:extLst>
        </c:ser>
        <c:ser>
          <c:idx val="1"/>
          <c:order val="1"/>
          <c:tx>
            <c:v>Escamas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0.14751775792543895"/>
                  <c:y val="5.397092781163644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rPr>
                      <a:t>Réptil</a:t>
                    </a:r>
                  </a:p>
                  <a:p>
                    <a:pPr>
                      <a:defRPr b="1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defRPr>
                    </a:pPr>
                    <a:r>
                      <a:rPr lang="en-US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rPr>
                      <a:t> 16,66</a:t>
                    </a:r>
                  </a:p>
                </c:rich>
              </c:tx>
              <c:spPr>
                <a:solidFill>
                  <a:srgbClr val="E7E6E6">
                    <a:lumMod val="75000"/>
                  </a:srgb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01250"/>
                        <a:gd name="adj2" fmla="val -109162"/>
                      </a:avLst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40-7D99-4098-86A1-D49636A0C810}"/>
                </c:ext>
              </c:extLst>
            </c:dLbl>
            <c:spPr>
              <a:solidFill>
                <a:schemeClr val="bg2">
                  <a:lumMod val="75000"/>
                </a:scheme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Graficos!$G$4:$H$4</c:f>
              <c:numCache>
                <c:formatCode>General</c:formatCode>
                <c:ptCount val="2"/>
                <c:pt idx="0">
                  <c:v>30.28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9-4098-86A1-D49636A0C810}"/>
            </c:ext>
          </c:extLst>
        </c:ser>
        <c:ser>
          <c:idx val="2"/>
          <c:order val="2"/>
          <c:tx>
            <c:v>Inseto</c:v>
          </c:tx>
          <c:spPr>
            <a:solidFill>
              <a:srgbClr val="80808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0.15621104704849145"/>
                  <c:y val="6.112822117386531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rPr>
                      <a:t>Inseto</a:t>
                    </a:r>
                  </a:p>
                  <a:p>
                    <a:pPr>
                      <a:defRPr b="1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defRPr>
                    </a:pPr>
                    <a:r>
                      <a:rPr lang="en-US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rPr>
                      <a:t>9,33</a:t>
                    </a:r>
                  </a:p>
                  <a:p>
                    <a:pPr>
                      <a:defRPr b="1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defRPr>
                    </a:pPr>
                    <a:endParaRPr lang="en-US" b="1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</a:endParaRPr>
                  </a:p>
                </c:rich>
              </c:tx>
              <c:spPr>
                <a:xfrm>
                  <a:off x="2688726" y="1531914"/>
                  <a:ext cx="566313" cy="337310"/>
                </a:xfrm>
                <a:solidFill>
                  <a:srgbClr val="DDDDDD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7044"/>
                        <a:gd name="adj2" fmla="val -101626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6911863054000388E-2"/>
                      <c:h val="9.97555433054472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4C-7D99-4098-86A1-D49636A0C810}"/>
                </c:ext>
              </c:extLst>
            </c:dLbl>
            <c:spPr>
              <a:solidFill>
                <a:srgbClr val="DDDDDD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Graficos!$G$5:$H$5</c:f>
              <c:numCache>
                <c:formatCode>General</c:formatCode>
                <c:ptCount val="2"/>
                <c:pt idx="0">
                  <c:v>9.61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99-4098-86A1-D49636A0C810}"/>
            </c:ext>
          </c:extLst>
        </c:ser>
        <c:ser>
          <c:idx val="3"/>
          <c:order val="3"/>
          <c:tx>
            <c:v>Carrapato</c:v>
          </c:tx>
          <c:spPr>
            <a:solidFill>
              <a:srgbClr val="DDDDDD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0.15226963297207127"/>
                  <c:y val="1.743580128326456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rPr>
                      <a:t>Carrapato</a:t>
                    </a:r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defRPr>
                    </a:pPr>
                    <a:r>
                      <a:rPr lang="en-US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rPr>
                      <a:t> </a:t>
                    </a:r>
                    <a:fld id="{80B4E9DE-3F59-4B10-9563-433941085C8C}" type="VALUE">
                      <a:rPr lang="en-US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</a:rPr>
                      <a:pPr>
                        <a:defRPr>
                          <a:solidFill>
                            <a:sysClr val="windowText" lastClr="000000"/>
                          </a:solidFill>
                          <a:latin typeface="Times New Roman" panose="02020603050405020304" pitchFamily="18" charset="0"/>
                        </a:defRPr>
                      </a:pPr>
                      <a:t>[VALUE]</a:t>
                    </a:fld>
                    <a:endParaRPr lang="en-US" b="1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</a:endParaRPr>
                  </a:p>
                </c:rich>
              </c:tx>
              <c:spPr>
                <a:solidFill>
                  <a:sysClr val="window" lastClr="FFFFFF">
                    <a:lumMod val="95000"/>
                  </a:sys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0775"/>
                        <a:gd name="adj2" fmla="val -85106"/>
                      </a:avLst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9-7D99-4098-86A1-D49636A0C810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Graficos!$G$6:$H$6</c:f>
              <c:numCache>
                <c:formatCode>General</c:formatCode>
                <c:ptCount val="2"/>
                <c:pt idx="0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99-4098-86A1-D49636A0C810}"/>
            </c:ext>
          </c:extLst>
        </c:ser>
        <c:ser>
          <c:idx val="4"/>
          <c:order val="4"/>
          <c:tx>
            <c:v>Vegetal NI</c:v>
          </c:tx>
          <c:spPr>
            <a:solidFill>
              <a:srgbClr val="5F5F5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0.15833333333333333"/>
                  <c:y val="8.333333333333324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ysClr val="windowText" lastClr="000000"/>
                        </a:solidFill>
                      </a:rPr>
                      <a:t>Vegetal NI</a:t>
                    </a:r>
                  </a:p>
                  <a:p>
                    <a:pPr>
                      <a:defRPr>
                        <a:latin typeface="Times New Roman" panose="02020603050405020304" pitchFamily="18" charset="0"/>
                      </a:defRPr>
                    </a:pPr>
                    <a:r>
                      <a:rPr lang="en-US" b="1" baseline="0">
                        <a:solidFill>
                          <a:sysClr val="windowText" lastClr="000000"/>
                        </a:solidFill>
                      </a:rPr>
                      <a:t> 45,79</a:t>
                    </a:r>
                  </a:p>
                </c:rich>
              </c:tx>
              <c:spPr>
                <a:solidFill>
                  <a:srgbClr val="80808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9024"/>
                        <a:gd name="adj2" fmla="val -113689"/>
                      </a:avLst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61-7D99-4098-86A1-D49636A0C810}"/>
                </c:ext>
              </c:extLst>
            </c:dLbl>
            <c:spPr>
              <a:solidFill>
                <a:srgbClr val="80808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Graficos!$G$7:$H$7</c:f>
              <c:numCache>
                <c:formatCode>General</c:formatCode>
                <c:ptCount val="2"/>
                <c:pt idx="1">
                  <c:v>30.64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99-4098-86A1-D49636A0C810}"/>
            </c:ext>
          </c:extLst>
        </c:ser>
        <c:ser>
          <c:idx val="5"/>
          <c:order val="5"/>
          <c:tx>
            <c:v>Sementes</c:v>
          </c:tx>
          <c:spPr>
            <a:solidFill>
              <a:srgbClr val="B2B2B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0.16111111871678838"/>
                  <c:y val="4.107913464814327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</a:rPr>
                      <a:t>Sementes</a:t>
                    </a:r>
                  </a:p>
                  <a:p>
                    <a:pPr>
                      <a:defRPr>
                        <a:latin typeface="Times New Roman" panose="02020603050405020304" pitchFamily="18" charset="0"/>
                      </a:defRPr>
                    </a:pPr>
                    <a:r>
                      <a:rPr lang="en-US" b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</a:rPr>
                      <a:t>7,51</a:t>
                    </a:r>
                  </a:p>
                </c:rich>
              </c:tx>
              <c:spPr>
                <a:solidFill>
                  <a:srgbClr val="B2B2B2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3013"/>
                        <a:gd name="adj2" fmla="val -91989"/>
                      </a:avLst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6A-7D99-4098-86A1-D49636A0C810}"/>
                </c:ext>
              </c:extLst>
            </c:dLbl>
            <c:spPr>
              <a:solidFill>
                <a:srgbClr val="B2B2B2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Graficos!$G$8:$H$8</c:f>
              <c:numCache>
                <c:formatCode>General</c:formatCode>
                <c:ptCount val="2"/>
                <c:pt idx="1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99-4098-86A1-D49636A0C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4877712"/>
        <c:axId val="374880992"/>
        <c:axId val="0"/>
      </c:bar3DChart>
      <c:catAx>
        <c:axId val="37487771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pt-BR" sz="1200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Tecido</a:t>
                </a:r>
                <a:r>
                  <a:rPr lang="pt-BR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 </a:t>
                </a:r>
                <a:r>
                  <a:rPr lang="pt-BR" sz="1200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Animal</a:t>
                </a:r>
                <a:r>
                  <a:rPr lang="pt-BR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                                       </a:t>
                </a:r>
                <a:r>
                  <a:rPr lang="pt-BR" sz="1200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Tecido</a:t>
                </a:r>
                <a:r>
                  <a:rPr lang="pt-BR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 </a:t>
                </a:r>
                <a:r>
                  <a:rPr lang="pt-BR" sz="1200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Vegetal</a:t>
                </a:r>
              </a:p>
            </c:rich>
          </c:tx>
          <c:layout>
            <c:manualLayout>
              <c:xMode val="edge"/>
              <c:yMode val="edge"/>
              <c:x val="0.2681677763730092"/>
              <c:y val="0.877769878298065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74880992"/>
        <c:crosses val="autoZero"/>
        <c:auto val="1"/>
        <c:lblAlgn val="ctr"/>
        <c:lblOffset val="100"/>
        <c:noMultiLvlLbl val="0"/>
      </c:catAx>
      <c:valAx>
        <c:axId val="374880992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</a:rPr>
                  <a:t>%PSIRI</a:t>
                </a:r>
              </a:p>
            </c:rich>
          </c:tx>
          <c:layout>
            <c:manualLayout>
              <c:xMode val="edge"/>
              <c:yMode val="edge"/>
              <c:x val="4.4457104094265371E-2"/>
              <c:y val="0.466783049267517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37487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595312</xdr:colOff>
      <xdr:row>9</xdr:row>
      <xdr:rowOff>114299</xdr:rowOff>
    </xdr:from>
    <xdr:to>
      <xdr:col>6</xdr:col>
      <xdr:colOff>647700</xdr:colOff>
      <xdr:row>27</xdr:row>
      <xdr:rowOff>66675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8015446-A488-44C7-9AC2-9690351B4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0.32192</cdr:x>
      <cdr:y>0.32394</cdr:y>
    </cdr:from>
    <cdr:to>
      <cdr:x>0.3969</cdr:x>
      <cdr:y>0.36338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217D0100-40A4-42AC-B50D-23FD2762E4FB}"/>
            </a:ext>
          </a:extLst>
        </cdr:cNvPr>
        <cdr:cNvSpPr txBox="1"/>
      </cdr:nvSpPr>
      <cdr:spPr>
        <a:xfrm xmlns:a="http://schemas.openxmlformats.org/drawingml/2006/main">
          <a:off x="1881188" y="1095376"/>
          <a:ext cx="438150" cy="133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showGridLines="0" topLeftCell="C1" workbookViewId="0">
      <selection activeCell="N11" sqref="N11"/>
    </sheetView>
  </sheetViews>
  <sheetFormatPr defaultColWidth="9.109375" defaultRowHeight="15.6" x14ac:dyDescent="0.3"/>
  <cols>
    <col min="1" max="1" width="12.44140625" style="1" customWidth="1"/>
    <col min="2" max="2" width="11.5546875" style="1" customWidth="1"/>
    <col min="3" max="3" width="13.5546875" style="1" customWidth="1"/>
    <col min="4" max="4" width="10.5546875" style="1" customWidth="1"/>
    <col min="5" max="5" width="15.5546875" style="1" customWidth="1"/>
    <col min="6" max="6" width="16.5546875" style="1" customWidth="1"/>
    <col min="7" max="7" width="11.6640625" style="1" customWidth="1"/>
    <col min="8" max="8" width="12.33203125" style="1" customWidth="1"/>
    <col min="9" max="9" width="15.109375" style="1" customWidth="1"/>
    <col min="10" max="10" width="17.109375" style="1" customWidth="1"/>
    <col min="11" max="11" width="10.33203125" style="1" customWidth="1"/>
    <col min="12" max="12" width="12.33203125" style="1" customWidth="1"/>
    <col min="13" max="14" width="9.33203125" style="1" customWidth="1"/>
    <col min="15" max="15" width="11.44140625" style="1" customWidth="1"/>
    <col min="16" max="16" width="12.88671875" style="1" customWidth="1"/>
    <col min="17" max="16384" width="9.109375" style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64</v>
      </c>
      <c r="H1" s="4" t="s">
        <v>65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x14ac:dyDescent="0.3">
      <c r="A2" s="37" t="s">
        <v>15</v>
      </c>
      <c r="B2" s="37">
        <v>2016</v>
      </c>
      <c r="C2" s="2" t="s">
        <v>16</v>
      </c>
      <c r="D2" s="37" t="s">
        <v>17</v>
      </c>
      <c r="E2" s="37">
        <v>0.252</v>
      </c>
      <c r="F2" s="37">
        <v>1</v>
      </c>
      <c r="G2" s="37"/>
      <c r="H2" s="37"/>
      <c r="I2" s="37">
        <v>0.40300000000000002</v>
      </c>
      <c r="J2" s="37">
        <v>1</v>
      </c>
      <c r="K2" s="37">
        <v>2.5000000000000001E-2</v>
      </c>
      <c r="L2" s="37">
        <v>1</v>
      </c>
      <c r="M2" s="37"/>
      <c r="N2" s="37"/>
      <c r="O2" s="37">
        <v>2.5000000000000001E-2</v>
      </c>
      <c r="P2" s="37">
        <v>20</v>
      </c>
    </row>
    <row r="3" spans="1:16" x14ac:dyDescent="0.3">
      <c r="A3" s="37" t="s">
        <v>15</v>
      </c>
      <c r="B3" s="37">
        <v>2016</v>
      </c>
      <c r="C3" s="2" t="s">
        <v>16</v>
      </c>
      <c r="D3" s="37" t="s">
        <v>18</v>
      </c>
      <c r="E3" s="37"/>
      <c r="F3" s="37"/>
      <c r="G3" s="37"/>
      <c r="H3" s="37"/>
      <c r="I3" s="3">
        <v>1.85</v>
      </c>
      <c r="J3" s="37">
        <v>1</v>
      </c>
      <c r="K3" s="37"/>
      <c r="L3" s="37"/>
      <c r="M3" s="3">
        <v>0.23</v>
      </c>
      <c r="N3" s="37">
        <v>1</v>
      </c>
      <c r="O3" s="37"/>
      <c r="P3" s="37"/>
    </row>
    <row r="4" spans="1:16" x14ac:dyDescent="0.3">
      <c r="A4" s="37" t="s">
        <v>15</v>
      </c>
      <c r="B4" s="37">
        <v>2016</v>
      </c>
      <c r="C4" s="2" t="s">
        <v>16</v>
      </c>
      <c r="D4" s="37" t="s">
        <v>19</v>
      </c>
      <c r="E4" s="37"/>
      <c r="F4" s="37"/>
      <c r="G4" s="37"/>
      <c r="H4" s="37"/>
      <c r="I4" s="3">
        <v>2.5499999999999998</v>
      </c>
      <c r="J4" s="37">
        <v>1</v>
      </c>
      <c r="K4" s="37"/>
      <c r="L4" s="37"/>
      <c r="M4" s="37">
        <v>2.3E-2</v>
      </c>
      <c r="N4" s="37">
        <v>1</v>
      </c>
      <c r="O4" s="37"/>
      <c r="P4" s="37"/>
    </row>
    <row r="5" spans="1:16" x14ac:dyDescent="0.3">
      <c r="A5" s="37" t="s">
        <v>15</v>
      </c>
      <c r="B5" s="37">
        <v>2016</v>
      </c>
      <c r="C5" s="2" t="s">
        <v>16</v>
      </c>
      <c r="D5" s="37" t="s">
        <v>20</v>
      </c>
      <c r="E5" s="3">
        <v>2.1</v>
      </c>
      <c r="F5" s="37">
        <v>1</v>
      </c>
      <c r="G5" s="37"/>
      <c r="H5" s="37"/>
      <c r="I5" s="37"/>
      <c r="J5" s="37"/>
      <c r="K5" s="3">
        <v>1</v>
      </c>
      <c r="L5" s="37">
        <v>1</v>
      </c>
      <c r="M5" s="37"/>
      <c r="N5" s="37"/>
      <c r="O5" s="37"/>
      <c r="P5" s="37"/>
    </row>
    <row r="6" spans="1:16" x14ac:dyDescent="0.3">
      <c r="A6" s="37" t="s">
        <v>15</v>
      </c>
      <c r="B6" s="37">
        <v>2016</v>
      </c>
      <c r="C6" s="2" t="s">
        <v>16</v>
      </c>
      <c r="D6" s="37" t="s">
        <v>21</v>
      </c>
      <c r="E6" s="37"/>
      <c r="F6" s="37"/>
      <c r="G6" s="37"/>
      <c r="H6" s="37"/>
      <c r="I6" s="37">
        <v>0.32700000000000001</v>
      </c>
      <c r="J6" s="37">
        <v>1</v>
      </c>
      <c r="K6" s="37"/>
      <c r="L6" s="37"/>
      <c r="M6" s="37"/>
      <c r="N6" s="37"/>
      <c r="O6" s="37"/>
      <c r="P6" s="37"/>
    </row>
    <row r="7" spans="1:16" x14ac:dyDescent="0.3">
      <c r="A7" s="37" t="s">
        <v>15</v>
      </c>
      <c r="B7" s="37">
        <v>2016</v>
      </c>
      <c r="C7" s="2" t="s">
        <v>22</v>
      </c>
      <c r="D7" s="37" t="s">
        <v>23</v>
      </c>
      <c r="E7" s="37"/>
      <c r="F7" s="37"/>
      <c r="G7" s="3">
        <v>0.7</v>
      </c>
      <c r="H7" s="37">
        <v>1</v>
      </c>
      <c r="I7" s="37"/>
      <c r="J7" s="37"/>
      <c r="K7" s="37"/>
      <c r="L7" s="37"/>
      <c r="M7" s="37"/>
      <c r="N7" s="37"/>
      <c r="O7" s="37"/>
      <c r="P7" s="37"/>
    </row>
    <row r="8" spans="1:16" s="18" customFormat="1" x14ac:dyDescent="0.3">
      <c r="A8" s="60" t="s">
        <v>58</v>
      </c>
      <c r="B8" s="60">
        <v>2017</v>
      </c>
      <c r="C8" s="2" t="s">
        <v>16</v>
      </c>
      <c r="D8" s="60" t="s">
        <v>59</v>
      </c>
      <c r="E8" s="60"/>
      <c r="F8" s="60"/>
      <c r="G8" s="3">
        <v>1.625</v>
      </c>
      <c r="H8" s="60">
        <v>1</v>
      </c>
      <c r="I8" s="60">
        <v>0.70499999999999996</v>
      </c>
      <c r="J8" s="60">
        <v>1</v>
      </c>
      <c r="K8" s="60"/>
      <c r="L8" s="60"/>
      <c r="M8" s="3">
        <v>0.01</v>
      </c>
      <c r="N8" s="60">
        <v>1</v>
      </c>
      <c r="O8" s="60"/>
      <c r="P8" s="60"/>
    </row>
    <row r="9" spans="1:16" s="18" customFormat="1" x14ac:dyDescent="0.3">
      <c r="A9" s="60" t="s">
        <v>58</v>
      </c>
      <c r="B9" s="60">
        <v>2017</v>
      </c>
      <c r="C9" s="2" t="s">
        <v>16</v>
      </c>
      <c r="D9" s="60" t="s">
        <v>60</v>
      </c>
      <c r="E9" s="3">
        <v>1.3</v>
      </c>
      <c r="F9" s="60"/>
      <c r="G9" s="3">
        <v>0.17499999999999999</v>
      </c>
      <c r="H9" s="60">
        <v>1</v>
      </c>
      <c r="I9" s="60">
        <v>5.0000000000000001E-3</v>
      </c>
      <c r="J9" s="60">
        <v>1</v>
      </c>
      <c r="K9" s="60"/>
      <c r="L9" s="60"/>
      <c r="M9" s="60"/>
      <c r="N9" s="60"/>
      <c r="O9" s="60">
        <v>4.2999999999999997E-2</v>
      </c>
      <c r="P9" s="60">
        <v>26</v>
      </c>
    </row>
    <row r="10" spans="1:16" s="18" customFormat="1" x14ac:dyDescent="0.3">
      <c r="A10" s="60" t="s">
        <v>58</v>
      </c>
      <c r="B10" s="60">
        <v>2017</v>
      </c>
      <c r="C10" s="2" t="s">
        <v>16</v>
      </c>
      <c r="D10" s="60" t="s">
        <v>61</v>
      </c>
      <c r="E10" s="60"/>
      <c r="F10" s="60"/>
      <c r="G10" s="3">
        <v>0.81699999999999995</v>
      </c>
      <c r="H10" s="60">
        <v>1</v>
      </c>
      <c r="I10" s="60"/>
      <c r="J10" s="60"/>
      <c r="K10" s="60"/>
      <c r="L10" s="60"/>
      <c r="M10" s="60"/>
      <c r="N10" s="60"/>
      <c r="O10" s="60"/>
      <c r="P10" s="60"/>
    </row>
    <row r="11" spans="1:16" s="18" customFormat="1" x14ac:dyDescent="0.3">
      <c r="A11" s="60" t="s">
        <v>58</v>
      </c>
      <c r="B11" s="60">
        <v>2017</v>
      </c>
      <c r="C11" s="2" t="s">
        <v>16</v>
      </c>
      <c r="D11" s="60" t="s">
        <v>62</v>
      </c>
      <c r="E11" s="60"/>
      <c r="F11" s="60"/>
      <c r="G11" s="3">
        <v>1.49</v>
      </c>
      <c r="H11" s="60">
        <v>1</v>
      </c>
      <c r="I11" s="60"/>
      <c r="J11" s="60"/>
      <c r="K11" s="60"/>
      <c r="L11" s="60"/>
      <c r="M11" s="3">
        <v>0.01</v>
      </c>
      <c r="N11" s="60">
        <v>1</v>
      </c>
      <c r="O11" s="60"/>
      <c r="P11" s="60"/>
    </row>
    <row r="12" spans="1:16" s="18" customFormat="1" x14ac:dyDescent="0.3">
      <c r="A12" s="60" t="s">
        <v>58</v>
      </c>
      <c r="B12" s="60">
        <v>2017</v>
      </c>
      <c r="C12" s="2" t="s">
        <v>16</v>
      </c>
      <c r="D12" s="60" t="s">
        <v>63</v>
      </c>
      <c r="E12" s="60">
        <v>7.4999999999999997E-2</v>
      </c>
      <c r="F12" s="60">
        <v>1</v>
      </c>
      <c r="G12" s="3">
        <v>0.93400000000000005</v>
      </c>
      <c r="H12" s="60">
        <v>1</v>
      </c>
      <c r="I12" s="60"/>
      <c r="J12" s="60"/>
      <c r="K12" s="60"/>
      <c r="L12" s="60"/>
      <c r="M12" s="60"/>
      <c r="N12" s="60"/>
      <c r="O12" s="60"/>
      <c r="P12" s="60"/>
    </row>
    <row r="13" spans="1:16" x14ac:dyDescent="0.3">
      <c r="A13" s="18"/>
      <c r="B13" s="18"/>
      <c r="C13" s="18"/>
      <c r="D13" s="6"/>
      <c r="E13" s="7"/>
      <c r="F13" s="6"/>
      <c r="G13" s="6"/>
      <c r="H13" s="7"/>
      <c r="I13" s="6"/>
      <c r="J13" s="6"/>
      <c r="K13" s="6"/>
      <c r="L13" s="18"/>
      <c r="M13" s="18"/>
      <c r="N13" s="18"/>
      <c r="O13" s="18"/>
      <c r="P13" s="18"/>
    </row>
    <row r="14" spans="1:16" x14ac:dyDescent="0.3">
      <c r="A14" s="18"/>
      <c r="B14" s="18"/>
      <c r="C14" s="18"/>
      <c r="D14" s="6"/>
      <c r="E14" s="6"/>
      <c r="F14" s="6"/>
      <c r="G14" s="6"/>
      <c r="H14" s="6"/>
      <c r="I14" s="6"/>
      <c r="J14" s="6"/>
      <c r="K14" s="6"/>
      <c r="L14" s="18"/>
      <c r="M14" s="18"/>
      <c r="N14" s="18"/>
      <c r="O14" s="18"/>
      <c r="P14" s="18"/>
    </row>
    <row r="15" spans="1:16" x14ac:dyDescent="0.3">
      <c r="A15" s="18"/>
      <c r="B15" s="18"/>
      <c r="C15" s="18"/>
      <c r="D15" s="6"/>
      <c r="E15" s="6"/>
      <c r="F15" s="7"/>
      <c r="G15" s="6"/>
      <c r="H15" s="6"/>
      <c r="I15" s="6"/>
      <c r="J15" s="6"/>
      <c r="K15" s="6"/>
      <c r="L15" s="18"/>
      <c r="M15" s="18"/>
      <c r="N15" s="18"/>
      <c r="O15" s="18"/>
      <c r="P15" s="18"/>
    </row>
    <row r="16" spans="1:16" x14ac:dyDescent="0.3">
      <c r="A16" s="18"/>
      <c r="B16" s="18"/>
      <c r="C16" s="18"/>
      <c r="D16" s="6"/>
      <c r="E16" s="6"/>
      <c r="F16" s="6"/>
      <c r="G16" s="6"/>
      <c r="H16" s="6"/>
      <c r="I16" s="6"/>
      <c r="J16" s="6"/>
      <c r="K16" s="6"/>
      <c r="L16" s="18"/>
      <c r="M16" s="18"/>
      <c r="N16" s="18"/>
      <c r="O16" s="18"/>
      <c r="P16" s="18"/>
    </row>
    <row r="17" spans="4:11" x14ac:dyDescent="0.3">
      <c r="D17" s="5"/>
      <c r="E17" s="5"/>
      <c r="F17" s="5"/>
      <c r="G17" s="5"/>
      <c r="H17" s="5"/>
      <c r="I17" s="5"/>
      <c r="J17" s="5"/>
      <c r="K17" s="6"/>
    </row>
    <row r="18" spans="4:11" x14ac:dyDescent="0.3">
      <c r="D18" s="6"/>
      <c r="E18" s="6"/>
      <c r="F18" s="6"/>
      <c r="G18" s="6"/>
      <c r="H18" s="6"/>
      <c r="I18" s="6"/>
      <c r="J18" s="6"/>
      <c r="K18" s="6"/>
    </row>
    <row r="19" spans="4:11" x14ac:dyDescent="0.3">
      <c r="D19" s="6"/>
      <c r="E19" s="6"/>
      <c r="F19" s="6"/>
      <c r="G19" s="6"/>
      <c r="H19" s="6"/>
      <c r="I19" s="6"/>
      <c r="J19" s="6"/>
      <c r="K19" s="6"/>
    </row>
    <row r="20" spans="4:11" x14ac:dyDescent="0.3">
      <c r="D20" s="6"/>
      <c r="E20" s="6"/>
      <c r="F20" s="6"/>
      <c r="G20" s="6"/>
      <c r="H20" s="6"/>
      <c r="I20" s="6"/>
      <c r="J20" s="6"/>
      <c r="K20" s="6"/>
    </row>
    <row r="21" spans="4:11" x14ac:dyDescent="0.3">
      <c r="D21" s="6"/>
      <c r="E21" s="6"/>
      <c r="F21" s="6"/>
      <c r="G21" s="6"/>
      <c r="H21" s="6"/>
      <c r="I21" s="6"/>
      <c r="J21" s="6"/>
      <c r="K21" s="6"/>
    </row>
    <row r="22" spans="4:11" x14ac:dyDescent="0.3">
      <c r="D22" s="6"/>
      <c r="E22" s="6"/>
      <c r="F22" s="6"/>
      <c r="G22" s="6"/>
      <c r="H22" s="6"/>
      <c r="I22" s="6"/>
      <c r="J22" s="6"/>
      <c r="K22" s="6"/>
    </row>
    <row r="23" spans="4:11" x14ac:dyDescent="0.3">
      <c r="D23" s="6"/>
      <c r="E23" s="6"/>
      <c r="F23" s="6"/>
      <c r="G23" s="6"/>
      <c r="H23" s="6"/>
      <c r="I23" s="6"/>
      <c r="J23" s="6"/>
      <c r="K23" s="6"/>
    </row>
    <row r="24" spans="4:11" x14ac:dyDescent="0.3">
      <c r="D24" s="6"/>
      <c r="E24" s="6"/>
      <c r="F24" s="6"/>
      <c r="G24" s="6"/>
      <c r="H24" s="6"/>
      <c r="I24" s="6"/>
      <c r="J24" s="6"/>
      <c r="K24" s="6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0"/>
  <sheetViews>
    <sheetView showGridLines="0" topLeftCell="A12" workbookViewId="0">
      <selection activeCell="C36" sqref="C36"/>
    </sheetView>
  </sheetViews>
  <sheetFormatPr defaultRowHeight="14.4" x14ac:dyDescent="0.3"/>
  <cols>
    <col min="1" max="1" width="11" customWidth="1"/>
    <col min="2" max="2" width="14.5546875" customWidth="1"/>
    <col min="3" max="3" width="14.33203125" customWidth="1"/>
    <col min="4" max="4" width="16.109375" customWidth="1"/>
    <col min="5" max="5" width="11.109375" customWidth="1"/>
    <col min="6" max="6" width="15.88671875" customWidth="1"/>
    <col min="7" max="7" width="15.5546875" customWidth="1"/>
    <col min="9" max="9" width="17.109375" customWidth="1"/>
    <col min="10" max="10" width="11.5546875" customWidth="1"/>
    <col min="11" max="11" width="16.44140625" customWidth="1"/>
    <col min="12" max="12" width="11.5546875" customWidth="1"/>
    <col min="13" max="13" width="11" customWidth="1"/>
    <col min="14" max="14" width="12" customWidth="1"/>
  </cols>
  <sheetData>
    <row r="1" spans="1:54" ht="15.6" x14ac:dyDescent="0.3">
      <c r="A1" s="4" t="s">
        <v>3</v>
      </c>
      <c r="B1" s="4" t="s">
        <v>4</v>
      </c>
      <c r="C1" s="4" t="s">
        <v>64</v>
      </c>
      <c r="D1" s="4" t="s">
        <v>7</v>
      </c>
      <c r="E1" s="4" t="s">
        <v>9</v>
      </c>
      <c r="F1" s="4" t="s">
        <v>11</v>
      </c>
      <c r="G1" s="4" t="s">
        <v>13</v>
      </c>
      <c r="H1" s="15" t="s">
        <v>24</v>
      </c>
      <c r="I1" s="9" t="s">
        <v>4</v>
      </c>
      <c r="J1" s="9" t="s">
        <v>6</v>
      </c>
      <c r="K1" s="9" t="s">
        <v>7</v>
      </c>
      <c r="L1" s="9" t="s">
        <v>9</v>
      </c>
      <c r="M1" s="9" t="s">
        <v>11</v>
      </c>
      <c r="N1" s="9" t="s">
        <v>13</v>
      </c>
      <c r="O1" s="8" t="s">
        <v>25</v>
      </c>
    </row>
    <row r="2" spans="1:54" ht="15.6" x14ac:dyDescent="0.3">
      <c r="A2" s="37" t="s">
        <v>17</v>
      </c>
      <c r="B2" s="37">
        <v>0.252</v>
      </c>
      <c r="C2" s="37"/>
      <c r="D2" s="37">
        <v>0.40300000000000002</v>
      </c>
      <c r="E2" s="37">
        <v>2.5000000000000001E-2</v>
      </c>
      <c r="F2" s="37"/>
      <c r="G2" s="37">
        <v>2.5000000000000001E-2</v>
      </c>
      <c r="H2" s="75">
        <f>SUM(B2:G2)</f>
        <v>0.70500000000000007</v>
      </c>
      <c r="I2" s="10">
        <f>B2*100/$H$2</f>
        <v>35.744680851063826</v>
      </c>
      <c r="J2" s="10"/>
      <c r="K2" s="10">
        <f t="shared" ref="K2:N2" si="0">D2*100/$H$2</f>
        <v>57.163120567375884</v>
      </c>
      <c r="L2" s="10">
        <f t="shared" si="0"/>
        <v>3.5460992907801416</v>
      </c>
      <c r="M2" s="10"/>
      <c r="N2" s="10">
        <f t="shared" si="0"/>
        <v>3.5460992907801416</v>
      </c>
      <c r="O2" s="12">
        <f>SUM(I2:N2)</f>
        <v>100</v>
      </c>
    </row>
    <row r="3" spans="1:54" ht="15.6" x14ac:dyDescent="0.3">
      <c r="A3" s="37" t="s">
        <v>18</v>
      </c>
      <c r="B3" s="37"/>
      <c r="C3" s="37"/>
      <c r="D3" s="3">
        <v>1.85</v>
      </c>
      <c r="E3" s="37"/>
      <c r="F3" s="3">
        <v>0.23</v>
      </c>
      <c r="G3" s="37"/>
      <c r="H3" s="75">
        <f t="shared" ref="H3:H6" si="1">SUM(B3:G3)</f>
        <v>2.08</v>
      </c>
      <c r="I3" s="10"/>
      <c r="J3" s="10"/>
      <c r="K3" s="10">
        <f t="shared" ref="K3:M3" si="2">D3*100/$H$3</f>
        <v>88.942307692307693</v>
      </c>
      <c r="L3" s="10"/>
      <c r="M3" s="10">
        <f t="shared" si="2"/>
        <v>11.057692307692307</v>
      </c>
      <c r="N3" s="10"/>
      <c r="O3" s="12">
        <f t="shared" ref="O3:O6" si="3">SUM(I3:N3)</f>
        <v>100</v>
      </c>
    </row>
    <row r="4" spans="1:54" ht="15.6" x14ac:dyDescent="0.3">
      <c r="A4" s="37" t="s">
        <v>19</v>
      </c>
      <c r="B4" s="37"/>
      <c r="C4" s="37"/>
      <c r="D4" s="3">
        <v>2.5499999999999998</v>
      </c>
      <c r="E4" s="37"/>
      <c r="F4" s="37">
        <v>2.3E-2</v>
      </c>
      <c r="G4" s="37"/>
      <c r="H4" s="75">
        <f t="shared" si="1"/>
        <v>2.573</v>
      </c>
      <c r="I4" s="10"/>
      <c r="J4" s="10"/>
      <c r="K4" s="10">
        <f t="shared" ref="K4:M4" si="4">D4*100/$H$4</f>
        <v>99.106101826661472</v>
      </c>
      <c r="L4" s="10"/>
      <c r="M4" s="10">
        <f t="shared" si="4"/>
        <v>0.89389817333851529</v>
      </c>
      <c r="N4" s="10"/>
      <c r="O4" s="12">
        <f t="shared" si="3"/>
        <v>99.999999999999986</v>
      </c>
    </row>
    <row r="5" spans="1:54" ht="15.6" x14ac:dyDescent="0.3">
      <c r="A5" s="37" t="s">
        <v>20</v>
      </c>
      <c r="B5" s="3">
        <v>2.1</v>
      </c>
      <c r="C5" s="37"/>
      <c r="D5" s="37"/>
      <c r="E5" s="3">
        <v>1</v>
      </c>
      <c r="F5" s="37"/>
      <c r="G5" s="37"/>
      <c r="H5" s="75">
        <f t="shared" si="1"/>
        <v>3.1</v>
      </c>
      <c r="I5" s="10">
        <f>B5*100/$H$5</f>
        <v>67.741935483870961</v>
      </c>
      <c r="J5" s="10"/>
      <c r="K5" s="10"/>
      <c r="L5" s="10">
        <f t="shared" ref="L5" si="5">E5*100/$H$5</f>
        <v>32.258064516129032</v>
      </c>
      <c r="M5" s="10"/>
      <c r="N5" s="10"/>
      <c r="O5" s="12">
        <f t="shared" si="3"/>
        <v>100</v>
      </c>
    </row>
    <row r="6" spans="1:54" ht="15.6" x14ac:dyDescent="0.3">
      <c r="A6" s="37" t="s">
        <v>21</v>
      </c>
      <c r="B6" s="37"/>
      <c r="C6" s="37"/>
      <c r="D6" s="37">
        <v>0.32700000000000001</v>
      </c>
      <c r="E6" s="37"/>
      <c r="F6" s="37"/>
      <c r="G6" s="37"/>
      <c r="H6" s="75">
        <f t="shared" si="1"/>
        <v>0.32700000000000001</v>
      </c>
      <c r="I6" s="10"/>
      <c r="J6" s="10"/>
      <c r="K6" s="10">
        <f t="shared" ref="K6" si="6">D6*100/$H$6</f>
        <v>100</v>
      </c>
      <c r="L6" s="10"/>
      <c r="M6" s="10"/>
      <c r="N6" s="10"/>
      <c r="O6" s="12">
        <f t="shared" si="3"/>
        <v>100</v>
      </c>
    </row>
    <row r="7" spans="1:54" s="62" customFormat="1" ht="15.6" x14ac:dyDescent="0.3">
      <c r="A7" s="61" t="s">
        <v>59</v>
      </c>
      <c r="B7" s="60"/>
      <c r="C7" s="3">
        <v>1.625</v>
      </c>
      <c r="D7" s="60">
        <v>0.70499999999999996</v>
      </c>
      <c r="E7" s="60"/>
      <c r="F7" s="3">
        <v>0.01</v>
      </c>
      <c r="G7" s="61"/>
      <c r="H7" s="74">
        <f>SUM(B7:G7)</f>
        <v>2.34</v>
      </c>
      <c r="I7" s="61"/>
      <c r="J7" s="61">
        <f>C7*100/$H$7</f>
        <v>69.444444444444443</v>
      </c>
      <c r="K7" s="61">
        <f>D7*100/$H$7</f>
        <v>30.128205128205131</v>
      </c>
      <c r="L7" s="61"/>
      <c r="M7" s="61">
        <f>F7*100/$H$7</f>
        <v>0.42735042735042739</v>
      </c>
      <c r="N7" s="61"/>
      <c r="O7" s="62">
        <f>SUM(I7:N7)</f>
        <v>100</v>
      </c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</row>
    <row r="8" spans="1:54" s="62" customFormat="1" ht="15.6" x14ac:dyDescent="0.3">
      <c r="A8" s="61" t="s">
        <v>60</v>
      </c>
      <c r="B8" s="3">
        <v>1.3</v>
      </c>
      <c r="C8" s="3">
        <v>0.17499999999999999</v>
      </c>
      <c r="D8" s="60">
        <v>5.0000000000000001E-3</v>
      </c>
      <c r="E8" s="60"/>
      <c r="F8" s="60"/>
      <c r="G8" s="61">
        <v>4.2999999999999997E-2</v>
      </c>
      <c r="H8" s="74">
        <f t="shared" ref="H8:H11" si="7">SUM(B8:G8)</f>
        <v>1.5229999999999999</v>
      </c>
      <c r="I8" s="61">
        <f>B8*100/$H$8</f>
        <v>85.357846355876561</v>
      </c>
      <c r="J8" s="61">
        <f>C8*100/$H$8</f>
        <v>11.490479317137229</v>
      </c>
      <c r="K8" s="61">
        <f>D8*100/$H$8</f>
        <v>0.3282994090610637</v>
      </c>
      <c r="L8" s="61"/>
      <c r="M8" s="61"/>
      <c r="N8" s="61">
        <f>G8*100/$H$8</f>
        <v>2.8233749179251477</v>
      </c>
      <c r="O8" s="62">
        <f t="shared" ref="O8:O11" si="8">SUM(I8:N8)</f>
        <v>100</v>
      </c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</row>
    <row r="9" spans="1:54" s="62" customFormat="1" ht="15.6" x14ac:dyDescent="0.3">
      <c r="A9" s="61" t="s">
        <v>61</v>
      </c>
      <c r="B9" s="60"/>
      <c r="C9" s="3">
        <v>0.81699999999999995</v>
      </c>
      <c r="D9" s="3"/>
      <c r="E9" s="60"/>
      <c r="F9" s="60"/>
      <c r="G9" s="61"/>
      <c r="H9" s="74">
        <f t="shared" si="7"/>
        <v>0.81699999999999995</v>
      </c>
      <c r="I9" s="61"/>
      <c r="J9" s="61">
        <f>C9*100/$H$9</f>
        <v>99.999999999999986</v>
      </c>
      <c r="K9" s="61"/>
      <c r="L9" s="61"/>
      <c r="M9" s="61"/>
      <c r="N9" s="61"/>
      <c r="O9" s="62">
        <f t="shared" si="8"/>
        <v>99.999999999999986</v>
      </c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</row>
    <row r="10" spans="1:54" s="62" customFormat="1" ht="15.6" x14ac:dyDescent="0.3">
      <c r="A10" s="61" t="s">
        <v>62</v>
      </c>
      <c r="B10" s="60"/>
      <c r="C10" s="3">
        <v>1.49</v>
      </c>
      <c r="D10" s="3"/>
      <c r="E10" s="60"/>
      <c r="F10" s="3">
        <v>0.01</v>
      </c>
      <c r="G10" s="61"/>
      <c r="H10" s="74">
        <f t="shared" si="7"/>
        <v>1.5</v>
      </c>
      <c r="I10" s="61"/>
      <c r="J10" s="61">
        <f>C10*100/$H$10</f>
        <v>99.333333333333329</v>
      </c>
      <c r="K10" s="61"/>
      <c r="L10" s="61"/>
      <c r="M10" s="61">
        <f>F10*100/$H$10</f>
        <v>0.66666666666666663</v>
      </c>
      <c r="N10" s="61"/>
      <c r="O10" s="62">
        <f t="shared" si="8"/>
        <v>100</v>
      </c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</row>
    <row r="11" spans="1:54" s="62" customFormat="1" ht="15.6" x14ac:dyDescent="0.3">
      <c r="A11" s="61" t="s">
        <v>63</v>
      </c>
      <c r="B11" s="60">
        <v>7.4999999999999997E-2</v>
      </c>
      <c r="C11" s="3">
        <v>0.93400000000000005</v>
      </c>
      <c r="D11" s="3"/>
      <c r="E11" s="60"/>
      <c r="F11" s="60"/>
      <c r="G11" s="61"/>
      <c r="H11" s="74">
        <f t="shared" si="7"/>
        <v>1.0090000000000001</v>
      </c>
      <c r="I11" s="61">
        <f>B11*100/$H$11</f>
        <v>7.433102081268582</v>
      </c>
      <c r="J11" s="61">
        <f>C11*100/$H$11</f>
        <v>92.566897918731414</v>
      </c>
      <c r="K11" s="61"/>
      <c r="L11" s="61"/>
      <c r="M11" s="61"/>
      <c r="N11" s="61"/>
      <c r="O11" s="62">
        <f t="shared" si="8"/>
        <v>100</v>
      </c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</row>
    <row r="12" spans="1:54" s="62" customFormat="1" ht="15.6" x14ac:dyDescent="0.3">
      <c r="A12" s="13" t="s">
        <v>26</v>
      </c>
      <c r="B12" s="61">
        <f t="shared" ref="B12:G12" si="9">COUNT(B2:B11)</f>
        <v>4</v>
      </c>
      <c r="C12" s="61">
        <f t="shared" si="9"/>
        <v>5</v>
      </c>
      <c r="D12" s="61">
        <f t="shared" si="9"/>
        <v>6</v>
      </c>
      <c r="E12" s="61">
        <f t="shared" si="9"/>
        <v>2</v>
      </c>
      <c r="F12" s="61">
        <f t="shared" si="9"/>
        <v>4</v>
      </c>
      <c r="G12" s="61">
        <f t="shared" si="9"/>
        <v>2</v>
      </c>
      <c r="H12" s="13" t="s">
        <v>27</v>
      </c>
      <c r="I12" s="61">
        <f>AVERAGE(I2:I11)</f>
        <v>49.069391193019975</v>
      </c>
      <c r="J12" s="61">
        <f t="shared" ref="J12:N12" si="10">AVERAGE(J2:J11)</f>
        <v>74.56703100272928</v>
      </c>
      <c r="K12" s="61">
        <f t="shared" si="10"/>
        <v>62.611339103935215</v>
      </c>
      <c r="L12" s="61">
        <f t="shared" si="10"/>
        <v>17.902081903454587</v>
      </c>
      <c r="M12" s="61">
        <f t="shared" si="10"/>
        <v>3.2614018937619789</v>
      </c>
      <c r="N12" s="61">
        <f t="shared" si="10"/>
        <v>3.1847371043526449</v>
      </c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</row>
    <row r="13" spans="1:54" s="63" customFormat="1" ht="15.6" x14ac:dyDescent="0.3">
      <c r="A13" s="84"/>
      <c r="B13" s="85">
        <f>SUM(B2:B11)</f>
        <v>3.7270000000000003</v>
      </c>
      <c r="C13" s="85">
        <f t="shared" ref="C13:G13" si="11">SUM(C2:C11)</f>
        <v>5.0410000000000004</v>
      </c>
      <c r="D13" s="85">
        <f t="shared" si="11"/>
        <v>5.84</v>
      </c>
      <c r="E13" s="85">
        <f t="shared" si="11"/>
        <v>1.0249999999999999</v>
      </c>
      <c r="F13" s="85">
        <f t="shared" si="11"/>
        <v>0.27300000000000002</v>
      </c>
      <c r="G13" s="85">
        <f t="shared" si="11"/>
        <v>6.8000000000000005E-2</v>
      </c>
      <c r="H13" s="84"/>
      <c r="I13" s="85"/>
      <c r="J13" s="85"/>
      <c r="K13" s="85"/>
      <c r="L13" s="85"/>
      <c r="M13" s="85"/>
      <c r="N13" s="85"/>
    </row>
    <row r="14" spans="1:54" s="63" customFormat="1" ht="15.6" x14ac:dyDescent="0.3">
      <c r="A14" s="84"/>
      <c r="B14" s="85"/>
      <c r="C14" s="85"/>
      <c r="D14" s="85"/>
      <c r="E14" s="85"/>
      <c r="F14" s="85"/>
      <c r="G14" s="85"/>
      <c r="H14" s="84"/>
      <c r="I14" s="85">
        <f>AVERAGE(I2:J11,M2:N11)</f>
        <v>39.235186771298622</v>
      </c>
      <c r="J14" s="85"/>
      <c r="K14" s="85"/>
      <c r="L14" s="85">
        <f>AVERAGE(K2:L11)</f>
        <v>51.434024803815056</v>
      </c>
      <c r="M14" s="85">
        <f>AVERAGE(M2:N11)</f>
        <v>3.2358469639588674</v>
      </c>
      <c r="N14" s="85"/>
    </row>
    <row r="15" spans="1:54" s="63" customFormat="1" ht="15.6" x14ac:dyDescent="0.3">
      <c r="A15" s="84"/>
      <c r="B15" s="85"/>
      <c r="C15" s="85"/>
      <c r="D15" s="85"/>
      <c r="E15" s="85">
        <f>SUM(D13:E13)</f>
        <v>6.8650000000000002</v>
      </c>
      <c r="F15" s="85">
        <f>SUM(F13:G13)</f>
        <v>0.34100000000000003</v>
      </c>
      <c r="G15" s="85"/>
      <c r="H15" s="84"/>
      <c r="I15" s="85"/>
      <c r="J15" s="85"/>
      <c r="K15" s="85"/>
      <c r="L15" s="85"/>
      <c r="M15" s="85"/>
      <c r="N15" s="85"/>
    </row>
    <row r="16" spans="1:54" x14ac:dyDescent="0.3">
      <c r="B16">
        <f>SUM(B2:C11,E2:G11)</f>
        <v>10.134</v>
      </c>
    </row>
    <row r="17" spans="1:15" ht="15.6" x14ac:dyDescent="0.3">
      <c r="A17" s="17"/>
      <c r="B17" s="17"/>
      <c r="C17" s="87" t="s">
        <v>28</v>
      </c>
      <c r="D17" s="87"/>
      <c r="E17" s="17"/>
      <c r="F17" s="86" t="s">
        <v>26</v>
      </c>
      <c r="G17" s="86"/>
      <c r="H17" s="17"/>
      <c r="I17" s="17"/>
      <c r="J17" s="17"/>
      <c r="K17" s="17"/>
      <c r="L17" s="17"/>
      <c r="M17" s="17"/>
      <c r="N17" s="17"/>
      <c r="O17" s="17"/>
    </row>
    <row r="18" spans="1:15" ht="15.6" x14ac:dyDescent="0.3">
      <c r="A18" s="17"/>
      <c r="B18" s="17"/>
      <c r="C18" s="26" t="s">
        <v>29</v>
      </c>
      <c r="D18" s="26" t="s">
        <v>30</v>
      </c>
      <c r="E18" s="17"/>
      <c r="F18" s="25" t="s">
        <v>29</v>
      </c>
      <c r="G18" s="25" t="s">
        <v>31</v>
      </c>
      <c r="H18" s="17"/>
      <c r="I18" s="17"/>
      <c r="J18" s="17"/>
      <c r="K18" s="17"/>
      <c r="L18" s="17"/>
      <c r="M18" s="17"/>
      <c r="N18" s="17"/>
      <c r="O18" s="17"/>
    </row>
    <row r="19" spans="1:15" ht="15.6" x14ac:dyDescent="0.3">
      <c r="A19" s="17"/>
      <c r="B19" s="17"/>
      <c r="C19" s="23" t="s">
        <v>4</v>
      </c>
      <c r="D19" s="65">
        <v>49.069391193019975</v>
      </c>
      <c r="E19" s="17"/>
      <c r="F19" s="23" t="s">
        <v>4</v>
      </c>
      <c r="G19" s="37">
        <v>4</v>
      </c>
      <c r="H19" s="17"/>
      <c r="I19" s="17"/>
      <c r="J19" s="17"/>
      <c r="K19" s="17"/>
      <c r="L19" s="17"/>
      <c r="M19" s="17"/>
      <c r="N19" s="17"/>
      <c r="O19" s="17"/>
    </row>
    <row r="20" spans="1:15" ht="15.6" x14ac:dyDescent="0.3">
      <c r="A20" s="17"/>
      <c r="B20" s="17"/>
      <c r="C20" s="23" t="s">
        <v>6</v>
      </c>
      <c r="D20" s="65">
        <v>74.56703100272928</v>
      </c>
      <c r="E20" s="17"/>
      <c r="F20" s="23" t="s">
        <v>6</v>
      </c>
      <c r="G20" s="37">
        <v>5</v>
      </c>
      <c r="H20" s="17"/>
      <c r="I20" s="17"/>
      <c r="J20" s="17"/>
      <c r="K20" s="17"/>
      <c r="L20" s="17"/>
      <c r="M20" s="17"/>
      <c r="N20" s="17"/>
      <c r="O20" s="17"/>
    </row>
    <row r="21" spans="1:15" ht="15.6" x14ac:dyDescent="0.3">
      <c r="A21" s="17"/>
      <c r="B21" s="47"/>
      <c r="C21" s="23" t="s">
        <v>32</v>
      </c>
      <c r="D21" s="65">
        <v>62.611339103935215</v>
      </c>
      <c r="E21" s="17"/>
      <c r="F21" s="23" t="s">
        <v>32</v>
      </c>
      <c r="G21" s="37">
        <v>6</v>
      </c>
      <c r="H21" s="17"/>
      <c r="I21" s="17"/>
      <c r="J21" s="17"/>
      <c r="K21" s="17"/>
      <c r="L21" s="17"/>
      <c r="M21" s="17"/>
      <c r="N21" s="17"/>
      <c r="O21" s="17"/>
    </row>
    <row r="22" spans="1:15" ht="15.6" x14ac:dyDescent="0.3">
      <c r="A22" s="17"/>
      <c r="B22" s="17"/>
      <c r="C22" s="23" t="s">
        <v>9</v>
      </c>
      <c r="D22" s="65">
        <v>17.902081903454587</v>
      </c>
      <c r="E22" s="17"/>
      <c r="F22" s="23" t="s">
        <v>9</v>
      </c>
      <c r="G22" s="37">
        <v>2</v>
      </c>
      <c r="H22" s="17"/>
      <c r="I22" s="17"/>
      <c r="J22" s="17"/>
      <c r="K22" s="17"/>
      <c r="L22" s="17"/>
      <c r="M22" s="17"/>
      <c r="N22" s="17"/>
      <c r="O22" s="17"/>
    </row>
    <row r="23" spans="1:15" ht="15.6" x14ac:dyDescent="0.3">
      <c r="A23" s="17"/>
      <c r="B23" s="17"/>
      <c r="C23" s="23" t="s">
        <v>11</v>
      </c>
      <c r="D23" s="65">
        <v>3.2614018937619789</v>
      </c>
      <c r="E23" s="17"/>
      <c r="F23" s="23" t="s">
        <v>11</v>
      </c>
      <c r="G23" s="37">
        <v>4</v>
      </c>
      <c r="H23" s="17"/>
      <c r="I23" s="17"/>
      <c r="J23" s="17"/>
      <c r="K23" s="17"/>
      <c r="L23" s="17"/>
      <c r="M23" s="17"/>
      <c r="N23" s="17"/>
      <c r="O23" s="17"/>
    </row>
    <row r="24" spans="1:15" ht="15.6" x14ac:dyDescent="0.3">
      <c r="C24" s="23" t="s">
        <v>13</v>
      </c>
      <c r="D24" s="65">
        <v>3.1847371043526449</v>
      </c>
      <c r="E24" s="17"/>
      <c r="F24" s="23" t="s">
        <v>13</v>
      </c>
      <c r="G24" s="37">
        <v>2</v>
      </c>
    </row>
    <row r="28" spans="1:15" s="17" customFormat="1" ht="15.6" x14ac:dyDescent="0.3">
      <c r="A28" s="4" t="s">
        <v>3</v>
      </c>
      <c r="B28" s="4" t="s">
        <v>4</v>
      </c>
      <c r="C28" s="4" t="s">
        <v>64</v>
      </c>
      <c r="D28" s="4" t="s">
        <v>7</v>
      </c>
      <c r="E28" s="4" t="s">
        <v>9</v>
      </c>
      <c r="F28" s="4" t="s">
        <v>11</v>
      </c>
      <c r="G28" s="4" t="s">
        <v>13</v>
      </c>
      <c r="H28" s="15" t="s">
        <v>24</v>
      </c>
      <c r="I28" s="9" t="s">
        <v>4</v>
      </c>
      <c r="J28" s="9" t="s">
        <v>6</v>
      </c>
      <c r="K28" s="9" t="s">
        <v>7</v>
      </c>
      <c r="L28" s="9" t="s">
        <v>9</v>
      </c>
      <c r="M28" s="9" t="s">
        <v>11</v>
      </c>
      <c r="N28" s="9" t="s">
        <v>13</v>
      </c>
      <c r="O28" s="8" t="s">
        <v>25</v>
      </c>
    </row>
    <row r="29" spans="1:15" s="17" customFormat="1" ht="15.6" x14ac:dyDescent="0.3">
      <c r="A29" s="60" t="s">
        <v>17</v>
      </c>
      <c r="B29" s="60">
        <v>0.252</v>
      </c>
      <c r="C29" s="60"/>
      <c r="D29" s="60">
        <v>0.40300000000000002</v>
      </c>
      <c r="E29" s="60">
        <v>2.5000000000000001E-2</v>
      </c>
      <c r="F29" s="60"/>
      <c r="G29" s="60">
        <v>2.5000000000000001E-2</v>
      </c>
      <c r="H29" s="10">
        <v>0.70500000000000007</v>
      </c>
      <c r="I29" s="10">
        <v>35.744680851063826</v>
      </c>
      <c r="J29" s="10"/>
      <c r="K29" s="10">
        <v>57.163120567375884</v>
      </c>
      <c r="L29" s="10">
        <v>3.5460992907801416</v>
      </c>
      <c r="M29" s="10"/>
      <c r="N29" s="10">
        <v>3.5460992907801416</v>
      </c>
      <c r="O29" s="12">
        <v>100</v>
      </c>
    </row>
    <row r="30" spans="1:15" s="17" customFormat="1" ht="15.6" x14ac:dyDescent="0.3">
      <c r="A30" s="60" t="s">
        <v>18</v>
      </c>
      <c r="B30" s="60"/>
      <c r="C30" s="60"/>
      <c r="D30" s="3">
        <v>1.85</v>
      </c>
      <c r="E30" s="60"/>
      <c r="F30" s="3">
        <v>0.23</v>
      </c>
      <c r="G30" s="60"/>
      <c r="H30" s="10">
        <v>2.08</v>
      </c>
      <c r="I30" s="10"/>
      <c r="J30" s="10"/>
      <c r="K30" s="10">
        <v>88.942307692307693</v>
      </c>
      <c r="L30" s="10"/>
      <c r="M30" s="10">
        <v>11.057692307692307</v>
      </c>
      <c r="N30" s="10"/>
      <c r="O30" s="12">
        <v>100</v>
      </c>
    </row>
    <row r="31" spans="1:15" s="17" customFormat="1" ht="15.6" x14ac:dyDescent="0.3">
      <c r="A31" s="60" t="s">
        <v>19</v>
      </c>
      <c r="B31" s="60"/>
      <c r="C31" s="60"/>
      <c r="D31" s="3">
        <v>2.5499999999999998</v>
      </c>
      <c r="E31" s="60"/>
      <c r="F31" s="60">
        <v>2.3E-2</v>
      </c>
      <c r="G31" s="60"/>
      <c r="H31" s="10">
        <v>2.573</v>
      </c>
      <c r="I31" s="10"/>
      <c r="J31" s="10"/>
      <c r="K31" s="10">
        <v>99.106101826661472</v>
      </c>
      <c r="L31" s="10"/>
      <c r="M31" s="10">
        <v>0.89389817333851529</v>
      </c>
      <c r="N31" s="10"/>
      <c r="O31" s="12">
        <v>99.999999999999986</v>
      </c>
    </row>
    <row r="32" spans="1:15" s="17" customFormat="1" ht="15.6" x14ac:dyDescent="0.3">
      <c r="A32" s="60" t="s">
        <v>20</v>
      </c>
      <c r="B32" s="3">
        <v>2.1</v>
      </c>
      <c r="C32" s="60"/>
      <c r="D32" s="60"/>
      <c r="E32" s="3">
        <v>1</v>
      </c>
      <c r="F32" s="60"/>
      <c r="G32" s="60"/>
      <c r="H32" s="10">
        <v>3.1</v>
      </c>
      <c r="I32" s="10">
        <v>67.741935483870961</v>
      </c>
      <c r="J32" s="10"/>
      <c r="K32" s="10"/>
      <c r="L32" s="10">
        <v>32.258064516129032</v>
      </c>
      <c r="M32" s="10"/>
      <c r="N32" s="10"/>
      <c r="O32" s="12">
        <v>100</v>
      </c>
    </row>
    <row r="33" spans="1:54" s="17" customFormat="1" ht="15.6" x14ac:dyDescent="0.3">
      <c r="A33" s="60" t="s">
        <v>21</v>
      </c>
      <c r="B33" s="60"/>
      <c r="C33" s="60"/>
      <c r="D33" s="60">
        <v>0.32700000000000001</v>
      </c>
      <c r="E33" s="60"/>
      <c r="F33" s="60"/>
      <c r="G33" s="60"/>
      <c r="H33" s="10">
        <v>0.32700000000000001</v>
      </c>
      <c r="I33" s="10"/>
      <c r="J33" s="10"/>
      <c r="K33" s="10">
        <v>100</v>
      </c>
      <c r="L33" s="10"/>
      <c r="M33" s="10"/>
      <c r="N33" s="10"/>
      <c r="O33" s="12">
        <v>100</v>
      </c>
    </row>
    <row r="34" spans="1:54" s="17" customFormat="1" ht="15.6" x14ac:dyDescent="0.3">
      <c r="A34" s="64" t="s">
        <v>23</v>
      </c>
      <c r="B34" s="60"/>
      <c r="C34" s="3">
        <v>0.7</v>
      </c>
      <c r="D34" s="60"/>
      <c r="E34" s="60"/>
      <c r="F34" s="60"/>
      <c r="G34" s="60"/>
      <c r="H34" s="10">
        <v>0.7</v>
      </c>
      <c r="I34" s="10"/>
      <c r="J34" s="10">
        <v>100</v>
      </c>
      <c r="K34" s="10"/>
      <c r="L34" s="10"/>
      <c r="M34" s="10"/>
      <c r="N34" s="10"/>
      <c r="O34" s="12">
        <v>100</v>
      </c>
    </row>
    <row r="35" spans="1:54" s="62" customFormat="1" ht="15.6" x14ac:dyDescent="0.3">
      <c r="A35" s="61" t="s">
        <v>59</v>
      </c>
      <c r="B35" s="60"/>
      <c r="C35" s="3">
        <v>1.625</v>
      </c>
      <c r="D35" s="60">
        <v>0.70499999999999996</v>
      </c>
      <c r="E35" s="60"/>
      <c r="F35" s="3">
        <v>0.01</v>
      </c>
      <c r="G35" s="61"/>
      <c r="H35" s="61">
        <v>2.34</v>
      </c>
      <c r="I35" s="61"/>
      <c r="J35" s="61">
        <v>69.444444444444443</v>
      </c>
      <c r="K35" s="61">
        <v>30.128205128205131</v>
      </c>
      <c r="L35" s="61"/>
      <c r="M35" s="61">
        <v>0.42735042735042739</v>
      </c>
      <c r="N35" s="61"/>
      <c r="O35" s="62">
        <v>100</v>
      </c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</row>
    <row r="36" spans="1:54" s="62" customFormat="1" ht="15.6" x14ac:dyDescent="0.3">
      <c r="A36" s="61" t="s">
        <v>60</v>
      </c>
      <c r="B36" s="3">
        <v>1.3</v>
      </c>
      <c r="C36" s="3">
        <v>0.17499999999999999</v>
      </c>
      <c r="D36" s="60">
        <v>5.0000000000000001E-3</v>
      </c>
      <c r="E36" s="60"/>
      <c r="F36" s="60"/>
      <c r="G36" s="61">
        <v>4.2999999999999997E-2</v>
      </c>
      <c r="H36" s="61">
        <v>1.5229999999999999</v>
      </c>
      <c r="I36" s="61">
        <v>85.357846355876561</v>
      </c>
      <c r="J36" s="61">
        <v>11.490479317137229</v>
      </c>
      <c r="K36" s="61">
        <v>0.3282994090610637</v>
      </c>
      <c r="L36" s="61"/>
      <c r="M36" s="61"/>
      <c r="N36" s="61">
        <v>2.8233749179251477</v>
      </c>
      <c r="O36" s="62">
        <v>100</v>
      </c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</row>
    <row r="37" spans="1:54" s="62" customFormat="1" ht="15.6" x14ac:dyDescent="0.3">
      <c r="A37" s="61" t="s">
        <v>61</v>
      </c>
      <c r="B37" s="60"/>
      <c r="C37" s="3">
        <v>0.81699999999999995</v>
      </c>
      <c r="D37" s="3"/>
      <c r="E37" s="60"/>
      <c r="F37" s="60"/>
      <c r="G37" s="61"/>
      <c r="H37" s="61">
        <v>0.81699999999999995</v>
      </c>
      <c r="I37" s="61"/>
      <c r="J37" s="61">
        <v>99.999999999999986</v>
      </c>
      <c r="K37" s="61"/>
      <c r="L37" s="61"/>
      <c r="M37" s="61"/>
      <c r="N37" s="61"/>
      <c r="O37" s="62">
        <v>99.999999999999986</v>
      </c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</row>
    <row r="38" spans="1:54" s="62" customFormat="1" ht="15.6" x14ac:dyDescent="0.3">
      <c r="A38" s="61" t="s">
        <v>62</v>
      </c>
      <c r="B38" s="60"/>
      <c r="C38" s="3">
        <v>1.49</v>
      </c>
      <c r="D38" s="3"/>
      <c r="E38" s="60"/>
      <c r="F38" s="3">
        <v>0.01</v>
      </c>
      <c r="G38" s="61"/>
      <c r="H38" s="61">
        <v>1.5</v>
      </c>
      <c r="I38" s="61"/>
      <c r="J38" s="61">
        <v>99.333333333333329</v>
      </c>
      <c r="K38" s="61"/>
      <c r="L38" s="61"/>
      <c r="M38" s="61">
        <v>0.66666666666666663</v>
      </c>
      <c r="N38" s="61"/>
      <c r="O38" s="62">
        <v>100</v>
      </c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</row>
    <row r="39" spans="1:54" s="62" customFormat="1" ht="15.6" x14ac:dyDescent="0.3">
      <c r="A39" s="61" t="s">
        <v>63</v>
      </c>
      <c r="B39" s="60">
        <v>7.4999999999999997E-2</v>
      </c>
      <c r="C39" s="3">
        <v>0.93400000000000005</v>
      </c>
      <c r="D39" s="3"/>
      <c r="E39" s="60"/>
      <c r="F39" s="60"/>
      <c r="G39" s="61"/>
      <c r="H39" s="61">
        <v>1.0090000000000001</v>
      </c>
      <c r="I39" s="61">
        <v>7.433102081268582</v>
      </c>
      <c r="J39" s="61">
        <v>92.566897918731414</v>
      </c>
      <c r="K39" s="61"/>
      <c r="L39" s="61"/>
      <c r="M39" s="61"/>
      <c r="N39" s="61"/>
      <c r="O39" s="62">
        <v>100</v>
      </c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</row>
    <row r="40" spans="1:54" s="62" customFormat="1" ht="15.6" x14ac:dyDescent="0.3">
      <c r="A40" s="13" t="s">
        <v>26</v>
      </c>
      <c r="B40" s="61">
        <v>4</v>
      </c>
      <c r="C40" s="61">
        <v>6</v>
      </c>
      <c r="D40" s="61">
        <v>6</v>
      </c>
      <c r="E40" s="61">
        <v>2</v>
      </c>
      <c r="F40" s="61">
        <v>4</v>
      </c>
      <c r="G40" s="61">
        <v>2</v>
      </c>
      <c r="H40" s="13" t="s">
        <v>27</v>
      </c>
      <c r="I40" s="61">
        <v>49.069391193019975</v>
      </c>
      <c r="J40" s="61">
        <v>78.805859168941069</v>
      </c>
      <c r="K40" s="61">
        <v>62.611339103935215</v>
      </c>
      <c r="L40" s="61">
        <v>17.902081903454587</v>
      </c>
      <c r="M40" s="61">
        <v>3.2614018937619789</v>
      </c>
      <c r="N40" s="61">
        <v>3.1847371043526449</v>
      </c>
      <c r="O40" s="62">
        <v>214.83481036746548</v>
      </c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</row>
  </sheetData>
  <mergeCells count="2">
    <mergeCell ref="F17:G17"/>
    <mergeCell ref="C17:D17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6FD8-EC16-4EF4-B432-32335B703963}">
  <dimension ref="A1:G12"/>
  <sheetViews>
    <sheetView tabSelected="1" workbookViewId="0">
      <selection sqref="A1:XFD1"/>
    </sheetView>
  </sheetViews>
  <sheetFormatPr defaultRowHeight="14.4" x14ac:dyDescent="0.3"/>
  <cols>
    <col min="1" max="1" width="6.21875" bestFit="1" customWidth="1"/>
    <col min="2" max="2" width="14.5546875" bestFit="1" customWidth="1"/>
    <col min="3" max="3" width="6.5546875" bestFit="1" customWidth="1"/>
    <col min="4" max="4" width="15.33203125" bestFit="1" customWidth="1"/>
    <col min="5" max="5" width="10" bestFit="1" customWidth="1"/>
    <col min="6" max="6" width="7.6640625" bestFit="1" customWidth="1"/>
    <col min="7" max="7" width="10.6640625" bestFit="1" customWidth="1"/>
  </cols>
  <sheetData>
    <row r="1" spans="1:7" ht="15.6" x14ac:dyDescent="0.3">
      <c r="A1" s="4" t="s">
        <v>3</v>
      </c>
      <c r="B1" s="4" t="s">
        <v>4</v>
      </c>
      <c r="C1" s="4" t="s">
        <v>64</v>
      </c>
      <c r="D1" s="4" t="s">
        <v>7</v>
      </c>
      <c r="E1" s="4" t="s">
        <v>9</v>
      </c>
      <c r="F1" s="4" t="s">
        <v>33</v>
      </c>
      <c r="G1" s="4" t="s">
        <v>13</v>
      </c>
    </row>
    <row r="2" spans="1:7" ht="15.6" x14ac:dyDescent="0.3">
      <c r="A2" s="83" t="s">
        <v>17</v>
      </c>
      <c r="B2" s="83">
        <v>0.252</v>
      </c>
      <c r="C2" s="83"/>
      <c r="D2" s="83">
        <v>0.40300000000000002</v>
      </c>
      <c r="E2" s="83">
        <v>2.5000000000000001E-2</v>
      </c>
      <c r="F2" s="83"/>
      <c r="G2" s="83">
        <v>2.5000000000000001E-2</v>
      </c>
    </row>
    <row r="3" spans="1:7" ht="15.6" x14ac:dyDescent="0.3">
      <c r="A3" s="83" t="s">
        <v>18</v>
      </c>
      <c r="B3" s="83"/>
      <c r="C3" s="83"/>
      <c r="D3" s="3">
        <v>1.85</v>
      </c>
      <c r="E3" s="83"/>
      <c r="F3" s="3">
        <v>0.23</v>
      </c>
      <c r="G3" s="83"/>
    </row>
    <row r="4" spans="1:7" ht="15.6" x14ac:dyDescent="0.3">
      <c r="A4" s="83" t="s">
        <v>19</v>
      </c>
      <c r="B4" s="83"/>
      <c r="C4" s="83"/>
      <c r="D4" s="3">
        <v>2.5499999999999998</v>
      </c>
      <c r="E4" s="83"/>
      <c r="F4" s="83">
        <v>2.3E-2</v>
      </c>
      <c r="G4" s="83"/>
    </row>
    <row r="5" spans="1:7" ht="15.6" x14ac:dyDescent="0.3">
      <c r="A5" s="83" t="s">
        <v>20</v>
      </c>
      <c r="B5" s="3">
        <v>2.1</v>
      </c>
      <c r="C5" s="83"/>
      <c r="D5" s="83"/>
      <c r="E5" s="3">
        <v>1</v>
      </c>
      <c r="F5" s="83"/>
      <c r="G5" s="83"/>
    </row>
    <row r="6" spans="1:7" ht="15.6" x14ac:dyDescent="0.3">
      <c r="A6" s="83" t="s">
        <v>21</v>
      </c>
      <c r="B6" s="83"/>
      <c r="C6" s="83"/>
      <c r="D6" s="83">
        <v>0.32700000000000001</v>
      </c>
      <c r="E6" s="83"/>
      <c r="F6" s="83"/>
      <c r="G6" s="83"/>
    </row>
    <row r="7" spans="1:7" ht="15.6" x14ac:dyDescent="0.3">
      <c r="A7" s="64" t="s">
        <v>23</v>
      </c>
      <c r="B7" s="83"/>
      <c r="C7" s="3">
        <v>0.7</v>
      </c>
      <c r="D7" s="83"/>
      <c r="E7" s="83"/>
      <c r="F7" s="83"/>
      <c r="G7" s="83"/>
    </row>
    <row r="8" spans="1:7" ht="15.6" x14ac:dyDescent="0.3">
      <c r="A8" s="61" t="s">
        <v>59</v>
      </c>
      <c r="B8" s="83"/>
      <c r="C8" s="3">
        <v>1.625</v>
      </c>
      <c r="D8" s="83">
        <v>0.70499999999999996</v>
      </c>
      <c r="E8" s="83"/>
      <c r="F8" s="3">
        <v>0.01</v>
      </c>
      <c r="G8" s="61"/>
    </row>
    <row r="9" spans="1:7" ht="15.6" x14ac:dyDescent="0.3">
      <c r="A9" s="61" t="s">
        <v>60</v>
      </c>
      <c r="B9" s="3">
        <v>1.3</v>
      </c>
      <c r="C9" s="3">
        <v>0.17499999999999999</v>
      </c>
      <c r="D9" s="83">
        <v>5.0000000000000001E-3</v>
      </c>
      <c r="E9" s="83"/>
      <c r="F9" s="83"/>
      <c r="G9" s="61">
        <v>4.2999999999999997E-2</v>
      </c>
    </row>
    <row r="10" spans="1:7" ht="15.6" x14ac:dyDescent="0.3">
      <c r="A10" s="61" t="s">
        <v>61</v>
      </c>
      <c r="B10" s="83"/>
      <c r="C10" s="3">
        <v>0.81699999999999995</v>
      </c>
      <c r="D10" s="3"/>
      <c r="E10" s="83"/>
      <c r="F10" s="83"/>
      <c r="G10" s="61"/>
    </row>
    <row r="11" spans="1:7" ht="15.6" x14ac:dyDescent="0.3">
      <c r="A11" s="61" t="s">
        <v>62</v>
      </c>
      <c r="B11" s="83"/>
      <c r="C11" s="3">
        <v>1.49</v>
      </c>
      <c r="D11" s="3"/>
      <c r="E11" s="83"/>
      <c r="F11" s="3">
        <v>0.01</v>
      </c>
      <c r="G11" s="61"/>
    </row>
    <row r="12" spans="1:7" ht="15.6" x14ac:dyDescent="0.3">
      <c r="A12" s="61" t="s">
        <v>63</v>
      </c>
      <c r="B12" s="83">
        <v>7.4999999999999997E-2</v>
      </c>
      <c r="C12" s="3">
        <v>0.93400000000000005</v>
      </c>
      <c r="D12" s="3"/>
      <c r="E12" s="83"/>
      <c r="F12" s="83"/>
      <c r="G12" s="6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showGridLines="0" topLeftCell="A10" workbookViewId="0">
      <selection activeCell="A24" sqref="A24:G35"/>
    </sheetView>
  </sheetViews>
  <sheetFormatPr defaultColWidth="9.109375" defaultRowHeight="15.6" x14ac:dyDescent="0.3"/>
  <cols>
    <col min="1" max="1" width="12.5546875" style="18" customWidth="1"/>
    <col min="2" max="2" width="18.109375" style="18" customWidth="1"/>
    <col min="3" max="3" width="13.6640625" style="18" customWidth="1"/>
    <col min="4" max="4" width="17.33203125" style="18" customWidth="1"/>
    <col min="5" max="5" width="13" style="18" customWidth="1"/>
    <col min="6" max="6" width="11.88671875" style="18" customWidth="1"/>
    <col min="7" max="7" width="16.5546875" style="18" customWidth="1"/>
    <col min="8" max="8" width="9.109375" style="18"/>
    <col min="9" max="9" width="15.109375" style="18" customWidth="1"/>
    <col min="10" max="10" width="11.6640625" style="18" customWidth="1"/>
    <col min="11" max="11" width="15.88671875" style="18" customWidth="1"/>
    <col min="12" max="12" width="11.6640625" style="18" customWidth="1"/>
    <col min="13" max="13" width="9.109375" style="18"/>
    <col min="14" max="14" width="11.33203125" style="18" customWidth="1"/>
    <col min="15" max="16384" width="9.109375" style="18"/>
  </cols>
  <sheetData>
    <row r="1" spans="1:15" x14ac:dyDescent="0.3">
      <c r="A1" s="4" t="s">
        <v>3</v>
      </c>
      <c r="B1" s="4" t="s">
        <v>4</v>
      </c>
      <c r="C1" s="4" t="s">
        <v>64</v>
      </c>
      <c r="D1" s="4" t="s">
        <v>7</v>
      </c>
      <c r="E1" s="4" t="s">
        <v>9</v>
      </c>
      <c r="F1" s="4" t="s">
        <v>33</v>
      </c>
      <c r="G1" s="4" t="s">
        <v>13</v>
      </c>
      <c r="H1" s="15" t="s">
        <v>25</v>
      </c>
      <c r="I1" s="9" t="s">
        <v>4</v>
      </c>
      <c r="J1" s="9" t="s">
        <v>6</v>
      </c>
      <c r="K1" s="9" t="s">
        <v>7</v>
      </c>
      <c r="L1" s="9" t="s">
        <v>9</v>
      </c>
      <c r="M1" s="9" t="s">
        <v>33</v>
      </c>
      <c r="N1" s="9" t="s">
        <v>13</v>
      </c>
      <c r="O1" s="8" t="s">
        <v>25</v>
      </c>
    </row>
    <row r="2" spans="1:15" x14ac:dyDescent="0.3">
      <c r="A2" s="37" t="s">
        <v>17</v>
      </c>
      <c r="B2" s="37">
        <v>1</v>
      </c>
      <c r="C2" s="37"/>
      <c r="D2" s="37">
        <v>1</v>
      </c>
      <c r="E2" s="37">
        <v>1</v>
      </c>
      <c r="F2" s="37"/>
      <c r="G2" s="37">
        <v>20</v>
      </c>
      <c r="H2" s="37">
        <f>SUM(B2:G2)</f>
        <v>23</v>
      </c>
      <c r="I2" s="37">
        <f>B2*100/$H$2</f>
        <v>4.3478260869565215</v>
      </c>
      <c r="J2" s="37"/>
      <c r="K2" s="37">
        <f t="shared" ref="K2:N2" si="0">D2*100/$H$2</f>
        <v>4.3478260869565215</v>
      </c>
      <c r="L2" s="37">
        <f t="shared" si="0"/>
        <v>4.3478260869565215</v>
      </c>
      <c r="M2" s="37"/>
      <c r="N2" s="22">
        <f t="shared" si="0"/>
        <v>86.956521739130437</v>
      </c>
      <c r="O2" s="37">
        <f>SUM(I2:N2)</f>
        <v>100</v>
      </c>
    </row>
    <row r="3" spans="1:15" x14ac:dyDescent="0.3">
      <c r="A3" s="37" t="s">
        <v>18</v>
      </c>
      <c r="B3" s="37"/>
      <c r="C3" s="37"/>
      <c r="D3" s="37">
        <v>1</v>
      </c>
      <c r="E3" s="37"/>
      <c r="F3" s="37">
        <v>1</v>
      </c>
      <c r="G3" s="37"/>
      <c r="H3" s="37">
        <f t="shared" ref="H3:H11" si="1">SUM(B3:G3)</f>
        <v>2</v>
      </c>
      <c r="I3" s="37"/>
      <c r="J3" s="37"/>
      <c r="K3" s="37">
        <f t="shared" ref="K3:M3" si="2">D3*100/$H$3</f>
        <v>50</v>
      </c>
      <c r="L3" s="37"/>
      <c r="M3" s="37">
        <f t="shared" si="2"/>
        <v>50</v>
      </c>
      <c r="N3" s="22"/>
      <c r="O3" s="37">
        <f t="shared" ref="O3:O11" si="3">SUM(I3:N3)</f>
        <v>100</v>
      </c>
    </row>
    <row r="4" spans="1:15" x14ac:dyDescent="0.3">
      <c r="A4" s="37" t="s">
        <v>19</v>
      </c>
      <c r="B4" s="37"/>
      <c r="C4" s="37"/>
      <c r="D4" s="37">
        <v>1</v>
      </c>
      <c r="E4" s="37"/>
      <c r="F4" s="37">
        <v>1</v>
      </c>
      <c r="G4" s="37"/>
      <c r="H4" s="37">
        <f t="shared" si="1"/>
        <v>2</v>
      </c>
      <c r="I4" s="37"/>
      <c r="J4" s="37"/>
      <c r="K4" s="37">
        <f t="shared" ref="K4:M4" si="4">D4*100/$H$4</f>
        <v>50</v>
      </c>
      <c r="L4" s="37"/>
      <c r="M4" s="37">
        <f t="shared" si="4"/>
        <v>50</v>
      </c>
      <c r="N4" s="22"/>
      <c r="O4" s="37">
        <f t="shared" si="3"/>
        <v>100</v>
      </c>
    </row>
    <row r="5" spans="1:15" x14ac:dyDescent="0.3">
      <c r="A5" s="37" t="s">
        <v>20</v>
      </c>
      <c r="B5" s="37">
        <v>1</v>
      </c>
      <c r="C5" s="37"/>
      <c r="D5" s="37"/>
      <c r="E5" s="37">
        <v>1</v>
      </c>
      <c r="F5" s="37"/>
      <c r="G5" s="37"/>
      <c r="H5" s="37">
        <f t="shared" si="1"/>
        <v>2</v>
      </c>
      <c r="I5" s="37">
        <f>B5*100/$H$5</f>
        <v>50</v>
      </c>
      <c r="J5" s="37"/>
      <c r="K5" s="37"/>
      <c r="L5" s="37">
        <f t="shared" ref="L5" si="5">E5*100/$H$5</f>
        <v>50</v>
      </c>
      <c r="M5" s="37"/>
      <c r="N5" s="22"/>
      <c r="O5" s="37">
        <f t="shared" si="3"/>
        <v>100</v>
      </c>
    </row>
    <row r="6" spans="1:15" x14ac:dyDescent="0.3">
      <c r="A6" s="37" t="s">
        <v>21</v>
      </c>
      <c r="B6" s="37"/>
      <c r="C6" s="37"/>
      <c r="D6" s="37">
        <v>1</v>
      </c>
      <c r="E6" s="37"/>
      <c r="F6" s="37"/>
      <c r="G6" s="37"/>
      <c r="H6" s="37">
        <f t="shared" si="1"/>
        <v>1</v>
      </c>
      <c r="I6" s="37"/>
      <c r="J6" s="37"/>
      <c r="K6" s="37">
        <f t="shared" ref="K6" si="6">D6*100/$H$6</f>
        <v>100</v>
      </c>
      <c r="L6" s="37"/>
      <c r="M6" s="37"/>
      <c r="N6" s="22"/>
      <c r="O6" s="37">
        <f t="shared" si="3"/>
        <v>100</v>
      </c>
    </row>
    <row r="7" spans="1:15" x14ac:dyDescent="0.3">
      <c r="A7" s="61" t="s">
        <v>59</v>
      </c>
      <c r="B7" s="60"/>
      <c r="C7" s="60">
        <v>1</v>
      </c>
      <c r="D7" s="60">
        <v>1</v>
      </c>
      <c r="E7" s="60"/>
      <c r="F7" s="60">
        <v>1</v>
      </c>
      <c r="G7" s="60"/>
      <c r="H7" s="60">
        <f t="shared" si="1"/>
        <v>3</v>
      </c>
      <c r="I7" s="60"/>
      <c r="J7" s="60">
        <f>C7*100/$H$7</f>
        <v>33.333333333333336</v>
      </c>
      <c r="K7" s="60">
        <f>D7*100/$H$7</f>
        <v>33.333333333333336</v>
      </c>
      <c r="L7" s="60"/>
      <c r="M7" s="60">
        <f>F7*100/$H$7</f>
        <v>33.333333333333336</v>
      </c>
      <c r="N7" s="22"/>
      <c r="O7" s="11">
        <f t="shared" si="3"/>
        <v>100</v>
      </c>
    </row>
    <row r="8" spans="1:15" x14ac:dyDescent="0.3">
      <c r="A8" s="61" t="s">
        <v>60</v>
      </c>
      <c r="B8" s="60"/>
      <c r="C8" s="60">
        <v>1</v>
      </c>
      <c r="D8" s="60">
        <v>1</v>
      </c>
      <c r="E8" s="60"/>
      <c r="F8" s="60"/>
      <c r="G8" s="60">
        <v>26</v>
      </c>
      <c r="H8" s="60">
        <f t="shared" si="1"/>
        <v>28</v>
      </c>
      <c r="I8" s="60"/>
      <c r="J8" s="60">
        <f>C8*100/$H$8</f>
        <v>3.5714285714285716</v>
      </c>
      <c r="K8" s="60">
        <f>D8*100/$H$8</f>
        <v>3.5714285714285716</v>
      </c>
      <c r="L8" s="60"/>
      <c r="M8" s="60"/>
      <c r="N8" s="60">
        <f>G8*100/$H$8</f>
        <v>92.857142857142861</v>
      </c>
      <c r="O8" s="11">
        <f t="shared" si="3"/>
        <v>100</v>
      </c>
    </row>
    <row r="9" spans="1:15" x14ac:dyDescent="0.3">
      <c r="A9" s="61" t="s">
        <v>61</v>
      </c>
      <c r="B9" s="60"/>
      <c r="C9" s="60">
        <v>1</v>
      </c>
      <c r="D9" s="60"/>
      <c r="E9" s="60"/>
      <c r="F9" s="60"/>
      <c r="G9" s="60"/>
      <c r="H9" s="60">
        <f t="shared" si="1"/>
        <v>1</v>
      </c>
      <c r="I9" s="60"/>
      <c r="J9" s="60">
        <f>C9*100/$H$9</f>
        <v>100</v>
      </c>
      <c r="K9" s="60"/>
      <c r="L9" s="60"/>
      <c r="M9" s="60"/>
      <c r="N9" s="22"/>
      <c r="O9" s="11">
        <f t="shared" si="3"/>
        <v>100</v>
      </c>
    </row>
    <row r="10" spans="1:15" x14ac:dyDescent="0.3">
      <c r="A10" s="61" t="s">
        <v>62</v>
      </c>
      <c r="B10" s="60"/>
      <c r="C10" s="60">
        <v>1</v>
      </c>
      <c r="D10" s="60"/>
      <c r="E10" s="60"/>
      <c r="F10" s="60">
        <v>1</v>
      </c>
      <c r="G10" s="60"/>
      <c r="H10" s="60">
        <f t="shared" si="1"/>
        <v>2</v>
      </c>
      <c r="I10" s="60"/>
      <c r="J10" s="60">
        <f>C10*100/$H$10</f>
        <v>50</v>
      </c>
      <c r="K10" s="60"/>
      <c r="L10" s="60"/>
      <c r="M10" s="60">
        <f>F10*100/$H$10</f>
        <v>50</v>
      </c>
      <c r="N10" s="22"/>
      <c r="O10" s="11">
        <f t="shared" si="3"/>
        <v>100</v>
      </c>
    </row>
    <row r="11" spans="1:15" x14ac:dyDescent="0.3">
      <c r="A11" s="61" t="s">
        <v>63</v>
      </c>
      <c r="B11" s="60">
        <v>1</v>
      </c>
      <c r="C11" s="60">
        <v>1</v>
      </c>
      <c r="D11" s="60"/>
      <c r="E11" s="60"/>
      <c r="F11" s="60"/>
      <c r="G11" s="60"/>
      <c r="H11" s="60">
        <f t="shared" si="1"/>
        <v>2</v>
      </c>
      <c r="I11" s="60">
        <f>B11*100/$H$11</f>
        <v>50</v>
      </c>
      <c r="J11" s="60">
        <f>C11*100/$H$11</f>
        <v>50</v>
      </c>
      <c r="K11" s="60"/>
      <c r="L11" s="60"/>
      <c r="M11" s="60"/>
      <c r="N11" s="22"/>
      <c r="O11" s="11">
        <f t="shared" si="3"/>
        <v>100</v>
      </c>
    </row>
    <row r="12" spans="1:15" x14ac:dyDescent="0.3">
      <c r="A12" s="13" t="s">
        <v>34</v>
      </c>
      <c r="B12" s="19">
        <f t="shared" ref="B12:G12" si="7">SUM(B2:B11)</f>
        <v>3</v>
      </c>
      <c r="C12" s="19">
        <f t="shared" si="7"/>
        <v>5</v>
      </c>
      <c r="D12" s="19">
        <f t="shared" si="7"/>
        <v>6</v>
      </c>
      <c r="E12" s="19">
        <f t="shared" si="7"/>
        <v>2</v>
      </c>
      <c r="F12" s="19">
        <f t="shared" si="7"/>
        <v>4</v>
      </c>
      <c r="G12" s="19">
        <f t="shared" si="7"/>
        <v>46</v>
      </c>
      <c r="H12" s="13" t="s">
        <v>27</v>
      </c>
      <c r="I12" s="19">
        <f>AVERAGE(I2:I11)</f>
        <v>34.782608695652179</v>
      </c>
      <c r="J12" s="19">
        <f t="shared" ref="J12:N12" si="8">AVERAGE(J2:J11)</f>
        <v>47.38095238095238</v>
      </c>
      <c r="K12" s="19">
        <f t="shared" si="8"/>
        <v>40.208764665286409</v>
      </c>
      <c r="L12" s="19">
        <f t="shared" si="8"/>
        <v>27.173913043478262</v>
      </c>
      <c r="M12" s="19">
        <f t="shared" si="8"/>
        <v>45.833333333333336</v>
      </c>
      <c r="N12" s="19">
        <f t="shared" si="8"/>
        <v>89.906832298136649</v>
      </c>
      <c r="O12" s="24"/>
    </row>
    <row r="14" spans="1:15" x14ac:dyDescent="0.3">
      <c r="D14" s="88" t="s">
        <v>35</v>
      </c>
      <c r="E14" s="88"/>
      <c r="I14" s="18">
        <f>AVERAGE(I2:J11,M2:N11)</f>
        <v>50.314256137237514</v>
      </c>
      <c r="K14" s="18">
        <f>AVERAGE(M2:N11)</f>
        <v>60.524499654934438</v>
      </c>
      <c r="L14" s="18">
        <f>AVERAGE(K2:L11)</f>
        <v>36.950051759834366</v>
      </c>
    </row>
    <row r="15" spans="1:15" x14ac:dyDescent="0.3">
      <c r="D15" s="27" t="s">
        <v>36</v>
      </c>
      <c r="E15" s="27" t="s">
        <v>30</v>
      </c>
      <c r="F15" s="14" t="s">
        <v>37</v>
      </c>
    </row>
    <row r="16" spans="1:15" x14ac:dyDescent="0.3">
      <c r="D16" s="4" t="s">
        <v>4</v>
      </c>
      <c r="E16" s="21">
        <v>34.782608695652179</v>
      </c>
      <c r="F16" s="37">
        <v>3</v>
      </c>
      <c r="G16" s="66"/>
    </row>
    <row r="17" spans="1:15" x14ac:dyDescent="0.3">
      <c r="D17" s="4" t="s">
        <v>6</v>
      </c>
      <c r="E17" s="21">
        <v>47.38095238095238</v>
      </c>
      <c r="F17" s="37">
        <v>5</v>
      </c>
      <c r="G17" s="66"/>
    </row>
    <row r="18" spans="1:15" x14ac:dyDescent="0.3">
      <c r="D18" s="4" t="s">
        <v>7</v>
      </c>
      <c r="E18" s="21">
        <v>40.208764665286409</v>
      </c>
      <c r="F18" s="37">
        <v>6</v>
      </c>
      <c r="G18" s="66"/>
    </row>
    <row r="19" spans="1:15" x14ac:dyDescent="0.3">
      <c r="D19" s="4" t="s">
        <v>9</v>
      </c>
      <c r="E19" s="21">
        <v>27.173913043478262</v>
      </c>
      <c r="F19" s="37">
        <v>2</v>
      </c>
      <c r="G19" s="66"/>
    </row>
    <row r="20" spans="1:15" x14ac:dyDescent="0.3">
      <c r="D20" s="4" t="s">
        <v>33</v>
      </c>
      <c r="E20" s="21">
        <v>45.833333333333336</v>
      </c>
      <c r="F20" s="37">
        <v>4</v>
      </c>
      <c r="G20" s="66"/>
    </row>
    <row r="21" spans="1:15" x14ac:dyDescent="0.3">
      <c r="D21" s="4" t="s">
        <v>13</v>
      </c>
      <c r="E21" s="21">
        <v>89.906832298136649</v>
      </c>
      <c r="F21" s="37">
        <v>46</v>
      </c>
      <c r="G21" s="66"/>
    </row>
    <row r="24" spans="1:15" x14ac:dyDescent="0.3">
      <c r="A24" s="4" t="s">
        <v>3</v>
      </c>
      <c r="B24" s="4" t="s">
        <v>4</v>
      </c>
      <c r="C24" s="4" t="s">
        <v>64</v>
      </c>
      <c r="D24" s="4" t="s">
        <v>7</v>
      </c>
      <c r="E24" s="4" t="s">
        <v>9</v>
      </c>
      <c r="F24" s="4" t="s">
        <v>33</v>
      </c>
      <c r="G24" s="4" t="s">
        <v>13</v>
      </c>
      <c r="H24" s="15" t="s">
        <v>25</v>
      </c>
      <c r="I24" s="9" t="s">
        <v>4</v>
      </c>
      <c r="J24" s="9" t="s">
        <v>6</v>
      </c>
      <c r="K24" s="9" t="s">
        <v>7</v>
      </c>
      <c r="L24" s="9" t="s">
        <v>9</v>
      </c>
      <c r="M24" s="9" t="s">
        <v>33</v>
      </c>
      <c r="N24" s="9" t="s">
        <v>13</v>
      </c>
      <c r="O24" s="8" t="s">
        <v>25</v>
      </c>
    </row>
    <row r="25" spans="1:15" x14ac:dyDescent="0.3">
      <c r="A25" s="60" t="s">
        <v>17</v>
      </c>
      <c r="B25" s="60">
        <v>1</v>
      </c>
      <c r="C25" s="60"/>
      <c r="D25" s="60">
        <v>1</v>
      </c>
      <c r="E25" s="60">
        <v>1</v>
      </c>
      <c r="F25" s="60"/>
      <c r="G25" s="60">
        <v>20</v>
      </c>
      <c r="H25" s="60">
        <v>23</v>
      </c>
      <c r="I25" s="60">
        <v>4.3478260869565215</v>
      </c>
      <c r="J25" s="60"/>
      <c r="K25" s="60">
        <v>4.3478260869565215</v>
      </c>
      <c r="L25" s="60">
        <v>4.3478260869565215</v>
      </c>
      <c r="M25" s="60"/>
      <c r="N25" s="22">
        <v>86.956521739130437</v>
      </c>
      <c r="O25" s="60">
        <v>100</v>
      </c>
    </row>
    <row r="26" spans="1:15" x14ac:dyDescent="0.3">
      <c r="A26" s="60" t="s">
        <v>18</v>
      </c>
      <c r="B26" s="60"/>
      <c r="C26" s="60"/>
      <c r="D26" s="60">
        <v>1</v>
      </c>
      <c r="E26" s="60"/>
      <c r="F26" s="60">
        <v>1</v>
      </c>
      <c r="G26" s="60"/>
      <c r="H26" s="60">
        <v>2</v>
      </c>
      <c r="I26" s="60"/>
      <c r="J26" s="60"/>
      <c r="K26" s="60">
        <v>50</v>
      </c>
      <c r="L26" s="60"/>
      <c r="M26" s="60">
        <v>50</v>
      </c>
      <c r="N26" s="22"/>
      <c r="O26" s="60">
        <v>100</v>
      </c>
    </row>
    <row r="27" spans="1:15" x14ac:dyDescent="0.3">
      <c r="A27" s="60" t="s">
        <v>19</v>
      </c>
      <c r="B27" s="60"/>
      <c r="C27" s="60"/>
      <c r="D27" s="60">
        <v>1</v>
      </c>
      <c r="E27" s="60"/>
      <c r="F27" s="60">
        <v>1</v>
      </c>
      <c r="G27" s="60"/>
      <c r="H27" s="60">
        <v>2</v>
      </c>
      <c r="I27" s="60"/>
      <c r="J27" s="60"/>
      <c r="K27" s="60">
        <v>50</v>
      </c>
      <c r="L27" s="60"/>
      <c r="M27" s="60">
        <v>50</v>
      </c>
      <c r="N27" s="22"/>
      <c r="O27" s="60">
        <v>100</v>
      </c>
    </row>
    <row r="28" spans="1:15" x14ac:dyDescent="0.3">
      <c r="A28" s="60" t="s">
        <v>20</v>
      </c>
      <c r="B28" s="60">
        <v>1</v>
      </c>
      <c r="C28" s="60"/>
      <c r="D28" s="60"/>
      <c r="E28" s="60">
        <v>1</v>
      </c>
      <c r="F28" s="60"/>
      <c r="G28" s="60"/>
      <c r="H28" s="60">
        <v>2</v>
      </c>
      <c r="I28" s="60">
        <v>50</v>
      </c>
      <c r="J28" s="60"/>
      <c r="K28" s="60"/>
      <c r="L28" s="60">
        <v>50</v>
      </c>
      <c r="M28" s="60"/>
      <c r="N28" s="22"/>
      <c r="O28" s="60">
        <v>100</v>
      </c>
    </row>
    <row r="29" spans="1:15" x14ac:dyDescent="0.3">
      <c r="A29" s="60" t="s">
        <v>21</v>
      </c>
      <c r="B29" s="60"/>
      <c r="C29" s="60"/>
      <c r="D29" s="60">
        <v>1</v>
      </c>
      <c r="E29" s="60"/>
      <c r="F29" s="60"/>
      <c r="G29" s="60"/>
      <c r="H29" s="60">
        <v>1</v>
      </c>
      <c r="I29" s="60"/>
      <c r="J29" s="60"/>
      <c r="K29" s="60">
        <v>100</v>
      </c>
      <c r="L29" s="60"/>
      <c r="M29" s="60"/>
      <c r="N29" s="22"/>
      <c r="O29" s="60">
        <v>100</v>
      </c>
    </row>
    <row r="30" spans="1:15" x14ac:dyDescent="0.3">
      <c r="A30" s="64" t="s">
        <v>23</v>
      </c>
      <c r="B30" s="60"/>
      <c r="C30" s="60">
        <v>1</v>
      </c>
      <c r="D30" s="60"/>
      <c r="E30" s="60"/>
      <c r="F30" s="60"/>
      <c r="G30" s="60"/>
      <c r="H30" s="60">
        <v>1</v>
      </c>
      <c r="I30" s="60"/>
      <c r="J30" s="60">
        <v>100</v>
      </c>
      <c r="K30" s="60"/>
      <c r="L30" s="60"/>
      <c r="M30" s="60"/>
      <c r="N30" s="22"/>
      <c r="O30" s="11">
        <v>100</v>
      </c>
    </row>
    <row r="31" spans="1:15" x14ac:dyDescent="0.3">
      <c r="A31" s="61" t="s">
        <v>59</v>
      </c>
      <c r="B31" s="60"/>
      <c r="C31" s="60">
        <v>1</v>
      </c>
      <c r="D31" s="60">
        <v>1</v>
      </c>
      <c r="E31" s="60"/>
      <c r="F31" s="60">
        <v>1</v>
      </c>
      <c r="G31" s="60"/>
      <c r="H31" s="60">
        <v>3</v>
      </c>
      <c r="I31" s="60"/>
      <c r="J31" s="60">
        <v>33.333333333333336</v>
      </c>
      <c r="K31" s="60">
        <v>33.333333333333336</v>
      </c>
      <c r="L31" s="60"/>
      <c r="M31" s="60">
        <v>33.333333333333336</v>
      </c>
      <c r="N31" s="22"/>
      <c r="O31" s="11">
        <v>100</v>
      </c>
    </row>
    <row r="32" spans="1:15" x14ac:dyDescent="0.3">
      <c r="A32" s="61" t="s">
        <v>60</v>
      </c>
      <c r="B32" s="60"/>
      <c r="C32" s="60">
        <v>1</v>
      </c>
      <c r="D32" s="60">
        <v>1</v>
      </c>
      <c r="E32" s="60"/>
      <c r="F32" s="60"/>
      <c r="G32" s="60">
        <v>26</v>
      </c>
      <c r="H32" s="60">
        <v>28</v>
      </c>
      <c r="I32" s="60"/>
      <c r="J32" s="60">
        <v>3.5714285714285716</v>
      </c>
      <c r="K32" s="60">
        <v>3.5714285714285716</v>
      </c>
      <c r="L32" s="60"/>
      <c r="M32" s="60"/>
      <c r="N32" s="60">
        <v>92.857142857142861</v>
      </c>
      <c r="O32" s="11">
        <v>100</v>
      </c>
    </row>
    <row r="33" spans="1:15" x14ac:dyDescent="0.3">
      <c r="A33" s="61" t="s">
        <v>61</v>
      </c>
      <c r="B33" s="60"/>
      <c r="C33" s="60">
        <v>1</v>
      </c>
      <c r="D33" s="60"/>
      <c r="E33" s="60"/>
      <c r="F33" s="60"/>
      <c r="G33" s="60"/>
      <c r="H33" s="60">
        <v>1</v>
      </c>
      <c r="I33" s="60"/>
      <c r="J33" s="60">
        <v>100</v>
      </c>
      <c r="K33" s="60"/>
      <c r="L33" s="60"/>
      <c r="M33" s="60"/>
      <c r="N33" s="22"/>
      <c r="O33" s="11">
        <v>100</v>
      </c>
    </row>
    <row r="34" spans="1:15" x14ac:dyDescent="0.3">
      <c r="A34" s="61" t="s">
        <v>62</v>
      </c>
      <c r="B34" s="60"/>
      <c r="C34" s="60">
        <v>1</v>
      </c>
      <c r="D34" s="60"/>
      <c r="E34" s="60"/>
      <c r="F34" s="60">
        <v>1</v>
      </c>
      <c r="G34" s="60"/>
      <c r="H34" s="60">
        <v>2</v>
      </c>
      <c r="I34" s="60"/>
      <c r="J34" s="60">
        <v>50</v>
      </c>
      <c r="K34" s="60"/>
      <c r="L34" s="60"/>
      <c r="M34" s="60">
        <v>50</v>
      </c>
      <c r="N34" s="22"/>
      <c r="O34" s="11">
        <v>100</v>
      </c>
    </row>
    <row r="35" spans="1:15" x14ac:dyDescent="0.3">
      <c r="A35" s="61" t="s">
        <v>63</v>
      </c>
      <c r="B35" s="60">
        <v>1</v>
      </c>
      <c r="C35" s="60">
        <v>1</v>
      </c>
      <c r="D35" s="60"/>
      <c r="E35" s="60"/>
      <c r="F35" s="60"/>
      <c r="G35" s="60"/>
      <c r="H35" s="60">
        <v>2</v>
      </c>
      <c r="I35" s="60">
        <v>50</v>
      </c>
      <c r="J35" s="60">
        <v>50</v>
      </c>
      <c r="K35" s="60"/>
      <c r="L35" s="60"/>
      <c r="M35" s="60"/>
      <c r="N35" s="22"/>
      <c r="O35" s="11">
        <v>100</v>
      </c>
    </row>
    <row r="36" spans="1:15" x14ac:dyDescent="0.3">
      <c r="A36" s="13" t="s">
        <v>34</v>
      </c>
      <c r="B36" s="19">
        <v>3</v>
      </c>
      <c r="C36" s="19">
        <v>6</v>
      </c>
      <c r="D36" s="19">
        <v>6</v>
      </c>
      <c r="E36" s="19">
        <v>2</v>
      </c>
      <c r="F36" s="19">
        <v>4</v>
      </c>
      <c r="G36" s="19">
        <v>46</v>
      </c>
      <c r="H36" s="13" t="s">
        <v>27</v>
      </c>
      <c r="I36" s="19">
        <v>34.782608695652179</v>
      </c>
      <c r="J36" s="19">
        <v>56.150793650793652</v>
      </c>
      <c r="K36" s="19">
        <v>40.208764665286409</v>
      </c>
      <c r="L36" s="19">
        <v>27.173913043478262</v>
      </c>
      <c r="M36" s="19">
        <v>45.833333333333336</v>
      </c>
      <c r="N36" s="19">
        <v>89.906832298136649</v>
      </c>
      <c r="O36" s="24"/>
    </row>
  </sheetData>
  <mergeCells count="1">
    <mergeCell ref="D14:E1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F079-F12B-476C-ACDD-9FD91A015530}">
  <dimension ref="A1:G12"/>
  <sheetViews>
    <sheetView workbookViewId="0">
      <selection sqref="A1:G1"/>
    </sheetView>
  </sheetViews>
  <sheetFormatPr defaultRowHeight="14.4" x14ac:dyDescent="0.3"/>
  <cols>
    <col min="1" max="1" width="6.21875" bestFit="1" customWidth="1"/>
    <col min="2" max="2" width="14.5546875" bestFit="1" customWidth="1"/>
    <col min="3" max="3" width="6.5546875" bestFit="1" customWidth="1"/>
    <col min="4" max="4" width="15.33203125" bestFit="1" customWidth="1"/>
    <col min="5" max="5" width="10" bestFit="1" customWidth="1"/>
    <col min="6" max="6" width="6.77734375" bestFit="1" customWidth="1"/>
    <col min="7" max="7" width="10.6640625" bestFit="1" customWidth="1"/>
    <col min="8" max="9" width="9" customWidth="1"/>
  </cols>
  <sheetData>
    <row r="1" spans="1:7" ht="15.6" x14ac:dyDescent="0.3">
      <c r="A1" s="4" t="s">
        <v>3</v>
      </c>
      <c r="B1" s="4" t="s">
        <v>4</v>
      </c>
      <c r="C1" s="4" t="s">
        <v>64</v>
      </c>
      <c r="D1" s="4" t="s">
        <v>7</v>
      </c>
      <c r="E1" s="4" t="s">
        <v>9</v>
      </c>
      <c r="F1" s="4" t="s">
        <v>33</v>
      </c>
      <c r="G1" s="4" t="s">
        <v>13</v>
      </c>
    </row>
    <row r="2" spans="1:7" ht="15.6" x14ac:dyDescent="0.3">
      <c r="A2" s="83" t="s">
        <v>17</v>
      </c>
      <c r="B2" s="83">
        <v>1</v>
      </c>
      <c r="C2" s="83"/>
      <c r="D2" s="83">
        <v>1</v>
      </c>
      <c r="E2" s="83">
        <v>1</v>
      </c>
      <c r="F2" s="83"/>
      <c r="G2" s="83">
        <v>20</v>
      </c>
    </row>
    <row r="3" spans="1:7" ht="15.6" x14ac:dyDescent="0.3">
      <c r="A3" s="83" t="s">
        <v>18</v>
      </c>
      <c r="B3" s="83"/>
      <c r="C3" s="83"/>
      <c r="D3" s="83">
        <v>1</v>
      </c>
      <c r="E3" s="83"/>
      <c r="F3" s="83">
        <v>1</v>
      </c>
      <c r="G3" s="83"/>
    </row>
    <row r="4" spans="1:7" ht="15.6" x14ac:dyDescent="0.3">
      <c r="A4" s="83" t="s">
        <v>19</v>
      </c>
      <c r="B4" s="83"/>
      <c r="C4" s="83"/>
      <c r="D4" s="83">
        <v>1</v>
      </c>
      <c r="E4" s="83"/>
      <c r="F4" s="83">
        <v>1</v>
      </c>
      <c r="G4" s="83"/>
    </row>
    <row r="5" spans="1:7" ht="15.6" x14ac:dyDescent="0.3">
      <c r="A5" s="83" t="s">
        <v>20</v>
      </c>
      <c r="B5" s="83">
        <v>1</v>
      </c>
      <c r="C5" s="83"/>
      <c r="D5" s="83"/>
      <c r="E5" s="83">
        <v>1</v>
      </c>
      <c r="F5" s="83"/>
      <c r="G5" s="83"/>
    </row>
    <row r="6" spans="1:7" ht="15.6" x14ac:dyDescent="0.3">
      <c r="A6" s="83" t="s">
        <v>21</v>
      </c>
      <c r="B6" s="83"/>
      <c r="C6" s="83"/>
      <c r="D6" s="83">
        <v>1</v>
      </c>
      <c r="E6" s="83"/>
      <c r="F6" s="83"/>
      <c r="G6" s="83"/>
    </row>
    <row r="7" spans="1:7" ht="15.6" x14ac:dyDescent="0.3">
      <c r="A7" s="64" t="s">
        <v>23</v>
      </c>
      <c r="B7" s="83"/>
      <c r="C7" s="83">
        <v>1</v>
      </c>
      <c r="D7" s="83"/>
      <c r="E7" s="83"/>
      <c r="F7" s="83"/>
      <c r="G7" s="83"/>
    </row>
    <row r="8" spans="1:7" ht="15.6" x14ac:dyDescent="0.3">
      <c r="A8" s="61" t="s">
        <v>59</v>
      </c>
      <c r="B8" s="83"/>
      <c r="C8" s="83">
        <v>1</v>
      </c>
      <c r="D8" s="83">
        <v>1</v>
      </c>
      <c r="E8" s="83"/>
      <c r="F8" s="83">
        <v>1</v>
      </c>
      <c r="G8" s="83"/>
    </row>
    <row r="9" spans="1:7" ht="15.6" x14ac:dyDescent="0.3">
      <c r="A9" s="61" t="s">
        <v>60</v>
      </c>
      <c r="B9" s="83"/>
      <c r="C9" s="83">
        <v>1</v>
      </c>
      <c r="D9" s="83">
        <v>1</v>
      </c>
      <c r="E9" s="83"/>
      <c r="F9" s="83"/>
      <c r="G9" s="83">
        <v>26</v>
      </c>
    </row>
    <row r="10" spans="1:7" ht="15.6" x14ac:dyDescent="0.3">
      <c r="A10" s="61" t="s">
        <v>61</v>
      </c>
      <c r="B10" s="83"/>
      <c r="C10" s="83">
        <v>1</v>
      </c>
      <c r="D10" s="83"/>
      <c r="E10" s="83"/>
      <c r="F10" s="83"/>
      <c r="G10" s="83"/>
    </row>
    <row r="11" spans="1:7" ht="15.6" x14ac:dyDescent="0.3">
      <c r="A11" s="61" t="s">
        <v>62</v>
      </c>
      <c r="B11" s="83"/>
      <c r="C11" s="83">
        <v>1</v>
      </c>
      <c r="D11" s="83"/>
      <c r="E11" s="83"/>
      <c r="F11" s="83">
        <v>1</v>
      </c>
      <c r="G11" s="83"/>
    </row>
    <row r="12" spans="1:7" ht="15.6" x14ac:dyDescent="0.3">
      <c r="A12" s="61" t="s">
        <v>63</v>
      </c>
      <c r="B12" s="83">
        <v>1</v>
      </c>
      <c r="C12" s="83">
        <v>1</v>
      </c>
      <c r="D12" s="83"/>
      <c r="E12" s="83"/>
      <c r="F12" s="83"/>
      <c r="G12" s="8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1"/>
  <sheetViews>
    <sheetView showGridLines="0" zoomScale="90" zoomScaleNormal="90" workbookViewId="0">
      <selection activeCell="J16" sqref="J16"/>
    </sheetView>
  </sheetViews>
  <sheetFormatPr defaultColWidth="9.109375" defaultRowHeight="15.6" x14ac:dyDescent="0.3"/>
  <cols>
    <col min="1" max="1" width="20.6640625" style="18" customWidth="1"/>
    <col min="2" max="2" width="12" style="18" customWidth="1"/>
    <col min="3" max="4" width="9.109375" style="18"/>
    <col min="5" max="5" width="14" style="18" customWidth="1"/>
    <col min="6" max="6" width="12" style="18" customWidth="1"/>
    <col min="7" max="7" width="12.109375" style="18" customWidth="1"/>
    <col min="8" max="9" width="12.88671875" style="18" customWidth="1"/>
    <col min="10" max="11" width="15" style="18" customWidth="1"/>
    <col min="12" max="12" width="13.109375" style="18" customWidth="1"/>
    <col min="13" max="13" width="14.6640625" style="18" customWidth="1"/>
    <col min="14" max="14" width="19.88671875" style="18" customWidth="1"/>
    <col min="15" max="15" width="16" style="18" customWidth="1"/>
    <col min="16" max="16" width="15.44140625" style="18" customWidth="1"/>
    <col min="17" max="17" width="9.6640625" style="18" customWidth="1"/>
    <col min="18" max="16384" width="9.109375" style="18"/>
  </cols>
  <sheetData>
    <row r="1" spans="1:23" x14ac:dyDescent="0.3">
      <c r="A1" s="30" t="s">
        <v>38</v>
      </c>
      <c r="B1" s="91" t="s">
        <v>26</v>
      </c>
      <c r="C1" s="92"/>
      <c r="D1" s="93" t="s">
        <v>37</v>
      </c>
      <c r="E1" s="94"/>
      <c r="F1" s="31" t="s">
        <v>35</v>
      </c>
      <c r="G1" s="31" t="s">
        <v>39</v>
      </c>
      <c r="H1" s="32" t="s">
        <v>40</v>
      </c>
      <c r="I1" s="32"/>
      <c r="J1" s="5"/>
      <c r="K1" s="90" t="s">
        <v>26</v>
      </c>
      <c r="L1" s="86"/>
      <c r="M1" s="87" t="s">
        <v>28</v>
      </c>
      <c r="N1" s="87"/>
      <c r="O1" s="88" t="s">
        <v>35</v>
      </c>
      <c r="P1" s="88"/>
      <c r="Q1" s="96" t="s">
        <v>67</v>
      </c>
      <c r="R1" s="97"/>
      <c r="S1" s="97"/>
      <c r="T1" s="97"/>
      <c r="U1" s="97"/>
    </row>
    <row r="2" spans="1:23" x14ac:dyDescent="0.3">
      <c r="A2" s="33"/>
      <c r="B2" s="34" t="s">
        <v>41</v>
      </c>
      <c r="C2" s="34" t="s">
        <v>42</v>
      </c>
      <c r="D2" s="34" t="s">
        <v>37</v>
      </c>
      <c r="E2" s="35" t="s">
        <v>43</v>
      </c>
      <c r="F2" s="35"/>
      <c r="G2" s="36"/>
      <c r="H2" s="34"/>
      <c r="I2" s="34" t="s">
        <v>72</v>
      </c>
      <c r="J2" s="5"/>
      <c r="K2" s="28" t="s">
        <v>29</v>
      </c>
      <c r="L2" s="25" t="s">
        <v>31</v>
      </c>
      <c r="M2" s="26" t="s">
        <v>29</v>
      </c>
      <c r="N2" s="26" t="s">
        <v>30</v>
      </c>
      <c r="O2" s="27" t="s">
        <v>36</v>
      </c>
      <c r="P2" s="27" t="s">
        <v>30</v>
      </c>
      <c r="Q2" s="14" t="s">
        <v>37</v>
      </c>
    </row>
    <row r="3" spans="1:23" x14ac:dyDescent="0.3">
      <c r="A3" s="23" t="s">
        <v>4</v>
      </c>
      <c r="B3" s="37">
        <v>9</v>
      </c>
      <c r="C3" s="37">
        <f>B3*100/$B$11</f>
        <v>90</v>
      </c>
      <c r="D3" s="37">
        <f>SUM(D4:D7)</f>
        <v>58</v>
      </c>
      <c r="E3" s="37">
        <f>D3*100/$D$11</f>
        <v>90.625</v>
      </c>
      <c r="F3" s="20" t="s">
        <v>44</v>
      </c>
      <c r="G3" s="20" t="s">
        <v>44</v>
      </c>
      <c r="H3" s="79">
        <f>SUM(H4:H7)</f>
        <v>66.36</v>
      </c>
      <c r="I3" s="29">
        <f>SUM(I4:I7)</f>
        <v>65.56</v>
      </c>
      <c r="J3" s="81"/>
      <c r="K3" s="72" t="s">
        <v>4</v>
      </c>
      <c r="L3" s="37">
        <v>2</v>
      </c>
      <c r="M3" s="23" t="s">
        <v>4</v>
      </c>
      <c r="N3" s="21">
        <v>51.74330816746739</v>
      </c>
      <c r="O3" s="4" t="s">
        <v>4</v>
      </c>
      <c r="P3" s="21">
        <v>27.173913043478262</v>
      </c>
      <c r="Q3" s="37">
        <v>2</v>
      </c>
    </row>
    <row r="4" spans="1:23" x14ac:dyDescent="0.3">
      <c r="A4" s="37" t="s">
        <v>45</v>
      </c>
      <c r="B4" s="37">
        <v>4</v>
      </c>
      <c r="C4" s="37">
        <f t="shared" ref="C4:C10" si="0">B4*100/$B$11</f>
        <v>40</v>
      </c>
      <c r="D4" s="37">
        <v>3</v>
      </c>
      <c r="E4" s="37">
        <f t="shared" ref="E4:E10" si="1">D4*100/$D$11</f>
        <v>4.6875</v>
      </c>
      <c r="F4" s="21">
        <v>34.782608695652179</v>
      </c>
      <c r="G4" s="65">
        <v>49.069391193019975</v>
      </c>
      <c r="H4" s="73">
        <v>16.77</v>
      </c>
      <c r="I4" s="21">
        <v>16.57</v>
      </c>
      <c r="J4" s="80"/>
      <c r="K4" s="72" t="s">
        <v>64</v>
      </c>
      <c r="L4" s="37">
        <v>1</v>
      </c>
      <c r="M4" s="23" t="s">
        <v>6</v>
      </c>
      <c r="N4" s="21">
        <v>100</v>
      </c>
      <c r="O4" s="4" t="s">
        <v>6</v>
      </c>
      <c r="P4" s="21">
        <v>100</v>
      </c>
      <c r="Q4" s="37">
        <v>1</v>
      </c>
    </row>
    <row r="5" spans="1:23" x14ac:dyDescent="0.3">
      <c r="A5" s="37" t="s">
        <v>64</v>
      </c>
      <c r="B5" s="37">
        <v>5</v>
      </c>
      <c r="C5" s="37">
        <f t="shared" si="0"/>
        <v>50</v>
      </c>
      <c r="D5" s="37">
        <v>5</v>
      </c>
      <c r="E5" s="37">
        <f t="shared" si="1"/>
        <v>7.8125</v>
      </c>
      <c r="F5" s="21">
        <v>47.38095238095238</v>
      </c>
      <c r="G5" s="65">
        <v>74.56703100272928</v>
      </c>
      <c r="H5" s="73">
        <v>30.48</v>
      </c>
      <c r="I5" s="21">
        <v>30.28</v>
      </c>
      <c r="J5" s="80"/>
      <c r="K5" s="72" t="s">
        <v>32</v>
      </c>
      <c r="L5" s="37">
        <v>4</v>
      </c>
      <c r="M5" s="23" t="s">
        <v>32</v>
      </c>
      <c r="N5" s="21">
        <v>86.30288252158627</v>
      </c>
      <c r="O5" s="4" t="s">
        <v>7</v>
      </c>
      <c r="P5" s="21">
        <v>51.086956521739133</v>
      </c>
      <c r="Q5" s="37">
        <v>4</v>
      </c>
    </row>
    <row r="6" spans="1:23" x14ac:dyDescent="0.3">
      <c r="A6" s="37" t="s">
        <v>46</v>
      </c>
      <c r="B6" s="37">
        <v>4</v>
      </c>
      <c r="C6" s="37">
        <f t="shared" si="0"/>
        <v>40</v>
      </c>
      <c r="D6" s="37">
        <v>4</v>
      </c>
      <c r="E6" s="82">
        <f t="shared" si="1"/>
        <v>6.25</v>
      </c>
      <c r="F6" s="21">
        <v>45.833333333333336</v>
      </c>
      <c r="G6" s="65">
        <v>3.2614018937619789</v>
      </c>
      <c r="H6" s="73">
        <v>9.81</v>
      </c>
      <c r="I6" s="21">
        <v>9.61</v>
      </c>
      <c r="J6" s="80"/>
      <c r="K6" s="72" t="s">
        <v>9</v>
      </c>
      <c r="L6" s="37">
        <v>2</v>
      </c>
      <c r="M6" s="23" t="s">
        <v>9</v>
      </c>
      <c r="N6" s="21">
        <v>17.902081903454587</v>
      </c>
      <c r="O6" s="4" t="s">
        <v>9</v>
      </c>
      <c r="P6" s="21">
        <v>27.173913043478262</v>
      </c>
      <c r="Q6" s="37">
        <v>2</v>
      </c>
    </row>
    <row r="7" spans="1:23" x14ac:dyDescent="0.3">
      <c r="A7" s="37" t="s">
        <v>47</v>
      </c>
      <c r="B7" s="37">
        <v>2</v>
      </c>
      <c r="C7" s="37">
        <f t="shared" si="0"/>
        <v>20</v>
      </c>
      <c r="D7" s="37">
        <v>46</v>
      </c>
      <c r="E7" s="37">
        <f t="shared" si="1"/>
        <v>71.875</v>
      </c>
      <c r="F7" s="21">
        <v>89.906832298136649</v>
      </c>
      <c r="G7" s="65">
        <v>3.1847371043526449</v>
      </c>
      <c r="H7" s="73">
        <v>9.3000000000000007</v>
      </c>
      <c r="I7" s="21">
        <v>9.1</v>
      </c>
      <c r="J7" s="80"/>
      <c r="K7" s="72" t="s">
        <v>11</v>
      </c>
      <c r="L7" s="37">
        <v>2</v>
      </c>
      <c r="M7" s="23" t="s">
        <v>11</v>
      </c>
      <c r="N7" s="21">
        <v>5.9757952405154109</v>
      </c>
      <c r="O7" s="4" t="s">
        <v>33</v>
      </c>
      <c r="P7" s="21">
        <v>50</v>
      </c>
      <c r="Q7" s="37">
        <v>2</v>
      </c>
    </row>
    <row r="8" spans="1:23" x14ac:dyDescent="0.3">
      <c r="A8" s="23" t="s">
        <v>7</v>
      </c>
      <c r="B8" s="37">
        <v>7</v>
      </c>
      <c r="C8" s="37">
        <f t="shared" si="0"/>
        <v>70</v>
      </c>
      <c r="D8" s="37">
        <f>SUM(D9:D10)</f>
        <v>8</v>
      </c>
      <c r="E8" s="3">
        <f t="shared" si="1"/>
        <v>12.5</v>
      </c>
      <c r="F8" s="21" t="s">
        <v>44</v>
      </c>
      <c r="G8" s="37" t="s">
        <v>44</v>
      </c>
      <c r="H8" s="71">
        <f>SUM(H9:H10)</f>
        <v>35.340000000000003</v>
      </c>
      <c r="I8" s="29">
        <f>SUM(I9:I10)</f>
        <v>34.94</v>
      </c>
      <c r="J8" s="80"/>
      <c r="K8" s="72" t="s">
        <v>13</v>
      </c>
      <c r="L8" s="37">
        <v>1</v>
      </c>
      <c r="M8" s="23" t="s">
        <v>13</v>
      </c>
      <c r="N8" s="21">
        <v>3.5460992907801416</v>
      </c>
      <c r="O8" s="4" t="s">
        <v>13</v>
      </c>
      <c r="P8" s="21">
        <v>86.956521739130437</v>
      </c>
      <c r="Q8" s="37">
        <v>20</v>
      </c>
    </row>
    <row r="9" spans="1:23" x14ac:dyDescent="0.3">
      <c r="A9" s="37" t="s">
        <v>48</v>
      </c>
      <c r="B9" s="37">
        <v>6</v>
      </c>
      <c r="C9" s="37">
        <f t="shared" si="0"/>
        <v>60</v>
      </c>
      <c r="D9" s="37">
        <v>6</v>
      </c>
      <c r="E9" s="37">
        <f t="shared" si="1"/>
        <v>9.375</v>
      </c>
      <c r="F9" s="21">
        <v>40.208764665286409</v>
      </c>
      <c r="G9" s="65">
        <v>62.611339103935215</v>
      </c>
      <c r="H9" s="73">
        <v>30.84</v>
      </c>
      <c r="I9" s="21">
        <v>30.64</v>
      </c>
      <c r="J9" s="80"/>
    </row>
    <row r="10" spans="1:23" x14ac:dyDescent="0.3">
      <c r="A10" s="37" t="s">
        <v>49</v>
      </c>
      <c r="B10" s="37">
        <v>2</v>
      </c>
      <c r="C10" s="37">
        <f t="shared" si="0"/>
        <v>20</v>
      </c>
      <c r="D10" s="37">
        <v>2</v>
      </c>
      <c r="E10" s="37">
        <f t="shared" si="1"/>
        <v>3.125</v>
      </c>
      <c r="F10" s="21">
        <v>27.173913043478262</v>
      </c>
      <c r="G10" s="65">
        <v>17.902081903454587</v>
      </c>
      <c r="H10" s="73">
        <v>4.5</v>
      </c>
      <c r="I10" s="21">
        <v>4.3</v>
      </c>
      <c r="J10" s="81"/>
      <c r="K10" s="90" t="s">
        <v>26</v>
      </c>
      <c r="L10" s="86"/>
      <c r="M10" s="87" t="s">
        <v>28</v>
      </c>
      <c r="N10" s="87"/>
      <c r="O10" s="88" t="s">
        <v>35</v>
      </c>
      <c r="P10" s="88"/>
      <c r="Q10" s="96" t="s">
        <v>66</v>
      </c>
      <c r="R10" s="95"/>
      <c r="S10" s="95"/>
      <c r="T10" s="95"/>
      <c r="U10" s="95"/>
      <c r="V10" s="95"/>
      <c r="W10" s="95"/>
    </row>
    <row r="11" spans="1:23" x14ac:dyDescent="0.3">
      <c r="A11" s="37" t="s">
        <v>25</v>
      </c>
      <c r="B11" s="89">
        <v>10</v>
      </c>
      <c r="C11" s="89"/>
      <c r="D11" s="89">
        <v>64</v>
      </c>
      <c r="E11" s="89"/>
      <c r="H11" s="78">
        <f>SUM(H3,H8)</f>
        <v>101.7</v>
      </c>
      <c r="I11" s="78">
        <f>SUM(I8,I3)</f>
        <v>100.5</v>
      </c>
      <c r="K11" s="57" t="s">
        <v>29</v>
      </c>
      <c r="L11" s="57" t="s">
        <v>31</v>
      </c>
      <c r="M11" s="58" t="s">
        <v>29</v>
      </c>
      <c r="N11" s="58" t="s">
        <v>30</v>
      </c>
      <c r="O11" s="59" t="s">
        <v>36</v>
      </c>
      <c r="P11" s="59" t="s">
        <v>30</v>
      </c>
      <c r="Q11" s="14" t="s">
        <v>37</v>
      </c>
    </row>
    <row r="12" spans="1:23" x14ac:dyDescent="0.3">
      <c r="H12" s="66"/>
      <c r="I12" s="66"/>
      <c r="K12" s="23" t="s">
        <v>4</v>
      </c>
      <c r="L12" s="60">
        <v>4</v>
      </c>
      <c r="M12" s="23" t="s">
        <v>4</v>
      </c>
      <c r="N12" s="65">
        <v>49.069391193019975</v>
      </c>
      <c r="O12" s="4" t="s">
        <v>4</v>
      </c>
      <c r="P12" s="21">
        <v>34.782608695652179</v>
      </c>
      <c r="Q12" s="60">
        <v>3</v>
      </c>
    </row>
    <row r="13" spans="1:23" x14ac:dyDescent="0.3">
      <c r="K13" s="23" t="s">
        <v>6</v>
      </c>
      <c r="L13" s="60">
        <v>5</v>
      </c>
      <c r="M13" s="23" t="s">
        <v>6</v>
      </c>
      <c r="N13" s="65">
        <v>74.56703100272928</v>
      </c>
      <c r="O13" s="4" t="s">
        <v>6</v>
      </c>
      <c r="P13" s="21">
        <v>47.38095238095238</v>
      </c>
      <c r="Q13" s="60">
        <v>5</v>
      </c>
    </row>
    <row r="14" spans="1:23" x14ac:dyDescent="0.3">
      <c r="A14" s="38"/>
      <c r="B14" s="39" t="s">
        <v>50</v>
      </c>
      <c r="C14" s="39"/>
      <c r="D14" s="39"/>
      <c r="E14" s="39"/>
      <c r="K14" s="23" t="s">
        <v>32</v>
      </c>
      <c r="L14" s="60">
        <v>6</v>
      </c>
      <c r="M14" s="23" t="s">
        <v>32</v>
      </c>
      <c r="N14" s="65">
        <v>62.611339103935215</v>
      </c>
      <c r="O14" s="4" t="s">
        <v>7</v>
      </c>
      <c r="P14" s="21">
        <v>40.208764665286409</v>
      </c>
      <c r="Q14" s="60">
        <v>6</v>
      </c>
    </row>
    <row r="15" spans="1:23" x14ac:dyDescent="0.3">
      <c r="K15" s="23" t="s">
        <v>9</v>
      </c>
      <c r="L15" s="60">
        <v>2</v>
      </c>
      <c r="M15" s="23" t="s">
        <v>9</v>
      </c>
      <c r="N15" s="65">
        <v>17.902081903454587</v>
      </c>
      <c r="O15" s="4" t="s">
        <v>9</v>
      </c>
      <c r="P15" s="21">
        <v>27.173913043478262</v>
      </c>
      <c r="Q15" s="60">
        <v>2</v>
      </c>
    </row>
    <row r="16" spans="1:23" x14ac:dyDescent="0.3">
      <c r="A16" s="20" t="s">
        <v>51</v>
      </c>
      <c r="B16" s="20" t="s">
        <v>42</v>
      </c>
      <c r="C16" s="20" t="s">
        <v>52</v>
      </c>
      <c r="D16" s="20" t="s">
        <v>28</v>
      </c>
      <c r="E16" s="20" t="s">
        <v>53</v>
      </c>
      <c r="F16" s="20" t="s">
        <v>54</v>
      </c>
      <c r="G16" s="20" t="s">
        <v>55</v>
      </c>
      <c r="H16" s="20" t="s">
        <v>56</v>
      </c>
      <c r="I16" s="5"/>
      <c r="K16" s="23" t="s">
        <v>11</v>
      </c>
      <c r="L16" s="60">
        <v>4</v>
      </c>
      <c r="M16" s="23" t="s">
        <v>11</v>
      </c>
      <c r="N16" s="65">
        <v>3.2614018937619789</v>
      </c>
      <c r="O16" s="4" t="s">
        <v>33</v>
      </c>
      <c r="P16" s="21">
        <v>45.833333333333336</v>
      </c>
      <c r="Q16" s="60">
        <v>4</v>
      </c>
    </row>
    <row r="17" spans="1:19" x14ac:dyDescent="0.3">
      <c r="A17" s="23" t="s">
        <v>69</v>
      </c>
      <c r="B17" s="37">
        <v>33.33</v>
      </c>
      <c r="C17" s="21">
        <v>27.173913043478262</v>
      </c>
      <c r="D17" s="21">
        <v>51.74330816746739</v>
      </c>
      <c r="E17" s="21">
        <f>SUM(C17:D17)</f>
        <v>78.917221210945655</v>
      </c>
      <c r="F17" s="21">
        <f>E17*B17</f>
        <v>2630.3109829608184</v>
      </c>
      <c r="G17" s="21">
        <f>F17/2</f>
        <v>1315.1554914804092</v>
      </c>
      <c r="H17" s="29">
        <f>G17/100</f>
        <v>13.151554914804091</v>
      </c>
      <c r="I17" s="69"/>
      <c r="K17" s="23" t="s">
        <v>13</v>
      </c>
      <c r="L17" s="60">
        <v>2</v>
      </c>
      <c r="M17" s="23" t="s">
        <v>13</v>
      </c>
      <c r="N17" s="65">
        <v>3.1847371043526449</v>
      </c>
      <c r="O17" s="4" t="s">
        <v>13</v>
      </c>
      <c r="P17" s="21">
        <v>89.906832298136649</v>
      </c>
      <c r="Q17" s="60">
        <v>46</v>
      </c>
    </row>
    <row r="18" spans="1:19" x14ac:dyDescent="0.3">
      <c r="A18" s="23" t="s">
        <v>64</v>
      </c>
      <c r="B18" s="37">
        <v>16.66</v>
      </c>
      <c r="C18" s="21">
        <v>100</v>
      </c>
      <c r="D18" s="21">
        <v>100</v>
      </c>
      <c r="E18" s="21">
        <f t="shared" ref="E18:E22" si="2">SUM(C18:D18)</f>
        <v>200</v>
      </c>
      <c r="F18" s="21">
        <f t="shared" ref="F18:F22" si="3">E18*B18</f>
        <v>3332</v>
      </c>
      <c r="G18" s="21">
        <f t="shared" ref="G18:G22" si="4">F18/2</f>
        <v>1666</v>
      </c>
      <c r="H18" s="29">
        <f t="shared" ref="H18:H22" si="5">G18/100</f>
        <v>16.66</v>
      </c>
      <c r="I18" s="69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3">
      <c r="A19" s="23" t="s">
        <v>70</v>
      </c>
      <c r="B19" s="37">
        <v>66.66</v>
      </c>
      <c r="C19" s="21">
        <v>51.086956521739133</v>
      </c>
      <c r="D19" s="21">
        <v>86.30288252158627</v>
      </c>
      <c r="E19" s="21">
        <f t="shared" si="2"/>
        <v>137.3898390433254</v>
      </c>
      <c r="F19" s="21">
        <f t="shared" si="3"/>
        <v>9158.4066706280701</v>
      </c>
      <c r="G19" s="21">
        <f t="shared" si="4"/>
        <v>4579.203335314035</v>
      </c>
      <c r="H19" s="29">
        <f t="shared" si="5"/>
        <v>45.792033353140347</v>
      </c>
      <c r="I19" s="69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3">
      <c r="A20" s="23" t="s">
        <v>9</v>
      </c>
      <c r="B20" s="37">
        <v>33.33</v>
      </c>
      <c r="C20" s="21">
        <v>27.173913043478262</v>
      </c>
      <c r="D20" s="21">
        <v>17.902081903454587</v>
      </c>
      <c r="E20" s="21">
        <f t="shared" si="2"/>
        <v>45.075994946932852</v>
      </c>
      <c r="F20" s="21">
        <f t="shared" si="3"/>
        <v>1502.3829115812719</v>
      </c>
      <c r="G20" s="21">
        <f t="shared" si="4"/>
        <v>751.19145579063593</v>
      </c>
      <c r="H20" s="29">
        <f t="shared" si="5"/>
        <v>7.5119145579063593</v>
      </c>
      <c r="I20" s="69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3">
      <c r="A21" s="23" t="s">
        <v>11</v>
      </c>
      <c r="B21" s="37">
        <v>33.33</v>
      </c>
      <c r="C21" s="21">
        <v>50</v>
      </c>
      <c r="D21" s="21">
        <v>5.9757952405154109</v>
      </c>
      <c r="E21" s="21">
        <f t="shared" si="2"/>
        <v>55.97579524051541</v>
      </c>
      <c r="F21" s="21">
        <f t="shared" si="3"/>
        <v>1865.6732553663785</v>
      </c>
      <c r="G21" s="21">
        <f t="shared" si="4"/>
        <v>932.83662768318925</v>
      </c>
      <c r="H21" s="29">
        <f t="shared" si="5"/>
        <v>9.3283662768318933</v>
      </c>
      <c r="I21" s="69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3">
      <c r="A22" s="23" t="s">
        <v>13</v>
      </c>
      <c r="B22" s="37">
        <v>16.66</v>
      </c>
      <c r="C22" s="21">
        <v>86.956521739130437</v>
      </c>
      <c r="D22" s="21">
        <v>3.5460992907801416</v>
      </c>
      <c r="E22" s="21">
        <f t="shared" si="2"/>
        <v>90.502621029910586</v>
      </c>
      <c r="F22" s="21">
        <f t="shared" si="3"/>
        <v>1507.7736663583103</v>
      </c>
      <c r="G22" s="21">
        <f t="shared" si="4"/>
        <v>753.88683317915513</v>
      </c>
      <c r="H22" s="29">
        <f t="shared" si="5"/>
        <v>7.5388683317915515</v>
      </c>
      <c r="I22" s="69"/>
      <c r="K22" s="6"/>
      <c r="L22" s="101"/>
      <c r="M22" s="101"/>
      <c r="N22" s="67"/>
      <c r="O22" s="102"/>
      <c r="P22" s="102"/>
      <c r="Q22" s="6"/>
      <c r="R22" s="6"/>
      <c r="S22" s="6"/>
    </row>
    <row r="23" spans="1:19" x14ac:dyDescent="0.3">
      <c r="K23" s="6"/>
      <c r="L23" s="5"/>
      <c r="M23" s="5"/>
      <c r="N23" s="67"/>
      <c r="O23" s="6"/>
      <c r="P23" s="6"/>
      <c r="Q23" s="6"/>
      <c r="R23" s="6"/>
      <c r="S23" s="6"/>
    </row>
    <row r="24" spans="1:19" x14ac:dyDescent="0.3">
      <c r="K24" s="6"/>
      <c r="L24" s="5"/>
      <c r="M24" s="68"/>
      <c r="N24" s="67"/>
      <c r="O24" s="5"/>
      <c r="P24" s="6"/>
      <c r="Q24" s="6"/>
      <c r="R24" s="6"/>
      <c r="S24" s="6"/>
    </row>
    <row r="25" spans="1:19" ht="15.75" customHeight="1" x14ac:dyDescent="0.3">
      <c r="A25" s="20" t="s">
        <v>51</v>
      </c>
      <c r="B25" s="20" t="s">
        <v>42</v>
      </c>
      <c r="C25" s="20" t="s">
        <v>52</v>
      </c>
      <c r="D25" s="20" t="s">
        <v>28</v>
      </c>
      <c r="E25" s="20" t="s">
        <v>53</v>
      </c>
      <c r="F25" s="20" t="s">
        <v>54</v>
      </c>
      <c r="G25" s="20" t="s">
        <v>55</v>
      </c>
      <c r="H25" s="20" t="s">
        <v>56</v>
      </c>
      <c r="I25" s="70"/>
      <c r="J25" s="98" t="s">
        <v>68</v>
      </c>
      <c r="K25" s="99"/>
      <c r="L25" s="98"/>
      <c r="M25" s="100"/>
      <c r="N25" s="67"/>
      <c r="O25" s="5"/>
      <c r="P25" s="6"/>
      <c r="Q25" s="6"/>
      <c r="R25" s="6"/>
      <c r="S25" s="6"/>
    </row>
    <row r="26" spans="1:19" x14ac:dyDescent="0.3">
      <c r="A26" s="23" t="s">
        <v>69</v>
      </c>
      <c r="B26" s="21">
        <v>40</v>
      </c>
      <c r="C26" s="21">
        <v>34.782608695652179</v>
      </c>
      <c r="D26" s="65">
        <v>49.069391193019975</v>
      </c>
      <c r="E26" s="82">
        <f>SUM(C26:D26)</f>
        <v>83.851999888672154</v>
      </c>
      <c r="F26" s="21">
        <f>E26*B26</f>
        <v>3354.079995546886</v>
      </c>
      <c r="G26" s="21">
        <f>F26/2</f>
        <v>1677.039997773443</v>
      </c>
      <c r="H26" s="76">
        <f>G26/100</f>
        <v>16.770399977734431</v>
      </c>
      <c r="I26" s="80">
        <f>H26-0.2</f>
        <v>16.570399977734432</v>
      </c>
      <c r="K26" s="6"/>
      <c r="L26" s="5"/>
      <c r="M26" s="68"/>
      <c r="N26" s="67"/>
      <c r="O26" s="5"/>
      <c r="P26" s="6"/>
      <c r="Q26" s="6"/>
      <c r="R26" s="6"/>
      <c r="S26" s="6"/>
    </row>
    <row r="27" spans="1:19" x14ac:dyDescent="0.3">
      <c r="A27" s="23" t="s">
        <v>64</v>
      </c>
      <c r="B27" s="21">
        <v>50</v>
      </c>
      <c r="C27" s="21">
        <v>47.38095238095238</v>
      </c>
      <c r="D27" s="65">
        <v>74.56703100272928</v>
      </c>
      <c r="E27" s="82">
        <f t="shared" ref="E27:E31" si="6">SUM(C27:D27)</f>
        <v>121.94798338368166</v>
      </c>
      <c r="F27" s="21">
        <f t="shared" ref="F27:F31" si="7">E27*B27</f>
        <v>6097.3991691840829</v>
      </c>
      <c r="G27" s="21">
        <f t="shared" ref="G27:G31" si="8">F27/2</f>
        <v>3048.6995845920414</v>
      </c>
      <c r="H27" s="76">
        <f t="shared" ref="H27:H31" si="9">G27/100</f>
        <v>30.486995845920415</v>
      </c>
      <c r="I27" s="80">
        <f t="shared" ref="I27:I31" si="10">H27-0.2</f>
        <v>30.286995845920416</v>
      </c>
      <c r="K27" s="6"/>
      <c r="L27" s="5"/>
      <c r="M27" s="68"/>
      <c r="N27" s="67"/>
      <c r="O27" s="5"/>
      <c r="P27" s="6"/>
      <c r="Q27" s="6"/>
      <c r="R27" s="6"/>
      <c r="S27" s="6"/>
    </row>
    <row r="28" spans="1:19" x14ac:dyDescent="0.3">
      <c r="A28" s="23" t="s">
        <v>11</v>
      </c>
      <c r="B28" s="21">
        <v>40</v>
      </c>
      <c r="C28" s="21">
        <v>45.833333333333336</v>
      </c>
      <c r="D28" s="65">
        <v>3.2614018937619789</v>
      </c>
      <c r="E28" s="82">
        <f t="shared" si="6"/>
        <v>49.094735227095313</v>
      </c>
      <c r="F28" s="21">
        <f t="shared" si="7"/>
        <v>1963.7894090838126</v>
      </c>
      <c r="G28" s="21">
        <f t="shared" si="8"/>
        <v>981.89470454190632</v>
      </c>
      <c r="H28" s="76">
        <f t="shared" si="9"/>
        <v>9.8189470454190637</v>
      </c>
      <c r="I28" s="80">
        <f t="shared" si="10"/>
        <v>9.6189470454190644</v>
      </c>
      <c r="K28" s="6"/>
      <c r="L28" s="5"/>
      <c r="M28" s="68"/>
      <c r="N28" s="67"/>
      <c r="O28" s="5"/>
      <c r="P28" s="6"/>
      <c r="Q28" s="6"/>
      <c r="R28" s="6"/>
      <c r="S28" s="6"/>
    </row>
    <row r="29" spans="1:19" x14ac:dyDescent="0.3">
      <c r="A29" s="23" t="s">
        <v>13</v>
      </c>
      <c r="B29" s="21">
        <v>20</v>
      </c>
      <c r="C29" s="21">
        <v>89.906832298136649</v>
      </c>
      <c r="D29" s="65">
        <v>3.1847371043526449</v>
      </c>
      <c r="E29" s="82">
        <f t="shared" si="6"/>
        <v>93.091569402489299</v>
      </c>
      <c r="F29" s="21">
        <f t="shared" si="7"/>
        <v>1861.831388049786</v>
      </c>
      <c r="G29" s="21">
        <f t="shared" si="8"/>
        <v>930.91569402489301</v>
      </c>
      <c r="H29" s="76">
        <f t="shared" si="9"/>
        <v>9.3091569402489309</v>
      </c>
      <c r="I29" s="80">
        <f t="shared" si="10"/>
        <v>9.1091569402489316</v>
      </c>
      <c r="J29" s="77"/>
      <c r="K29" s="6"/>
      <c r="L29" s="5"/>
      <c r="M29" s="68"/>
      <c r="N29" s="67"/>
      <c r="O29" s="5"/>
      <c r="P29" s="6"/>
      <c r="Q29" s="6"/>
      <c r="R29" s="6"/>
      <c r="S29" s="6"/>
    </row>
    <row r="30" spans="1:19" x14ac:dyDescent="0.3">
      <c r="A30" s="23" t="s">
        <v>71</v>
      </c>
      <c r="B30" s="21">
        <v>60</v>
      </c>
      <c r="C30" s="21">
        <v>40.208764665286409</v>
      </c>
      <c r="D30" s="65">
        <v>62.611339103935215</v>
      </c>
      <c r="E30" s="82">
        <f t="shared" si="6"/>
        <v>102.82010376922162</v>
      </c>
      <c r="F30" s="21">
        <f t="shared" si="7"/>
        <v>6169.2062261532974</v>
      </c>
      <c r="G30" s="21">
        <f t="shared" si="8"/>
        <v>3084.6031130766487</v>
      </c>
      <c r="H30" s="76">
        <f t="shared" si="9"/>
        <v>30.846031130766487</v>
      </c>
      <c r="I30" s="80">
        <f t="shared" si="10"/>
        <v>30.646031130766488</v>
      </c>
      <c r="K30" s="6"/>
      <c r="L30" s="6"/>
      <c r="M30" s="6"/>
      <c r="N30" s="6"/>
      <c r="O30" s="6"/>
      <c r="P30" s="6"/>
      <c r="Q30" s="6"/>
      <c r="R30" s="6"/>
      <c r="S30" s="6"/>
    </row>
    <row r="31" spans="1:19" x14ac:dyDescent="0.3">
      <c r="A31" s="23" t="s">
        <v>9</v>
      </c>
      <c r="B31" s="21">
        <v>20</v>
      </c>
      <c r="C31" s="21">
        <v>27.173913043478262</v>
      </c>
      <c r="D31" s="65">
        <v>17.902081903454587</v>
      </c>
      <c r="E31" s="82">
        <f t="shared" si="6"/>
        <v>45.075994946932852</v>
      </c>
      <c r="F31" s="21">
        <f t="shared" si="7"/>
        <v>901.51989893865698</v>
      </c>
      <c r="G31" s="21">
        <f t="shared" si="8"/>
        <v>450.75994946932849</v>
      </c>
      <c r="H31" s="76">
        <f t="shared" si="9"/>
        <v>4.5075994946932845</v>
      </c>
      <c r="I31" s="80">
        <f t="shared" si="10"/>
        <v>4.3075994946932843</v>
      </c>
    </row>
  </sheetData>
  <mergeCells count="17">
    <mergeCell ref="U10:W10"/>
    <mergeCell ref="Q10:T10"/>
    <mergeCell ref="Q1:U1"/>
    <mergeCell ref="J25:K25"/>
    <mergeCell ref="L25:M25"/>
    <mergeCell ref="L22:M22"/>
    <mergeCell ref="O22:P22"/>
    <mergeCell ref="K10:L10"/>
    <mergeCell ref="M10:N10"/>
    <mergeCell ref="O10:P10"/>
    <mergeCell ref="B11:C11"/>
    <mergeCell ref="D11:E11"/>
    <mergeCell ref="M1:N1"/>
    <mergeCell ref="O1:P1"/>
    <mergeCell ref="K1:L1"/>
    <mergeCell ref="B1:C1"/>
    <mergeCell ref="D1:E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showGridLines="0" workbookViewId="0">
      <selection activeCell="K12" sqref="K12"/>
    </sheetView>
  </sheetViews>
  <sheetFormatPr defaultRowHeight="14.4" x14ac:dyDescent="0.3"/>
  <cols>
    <col min="1" max="1" width="17.33203125" customWidth="1"/>
    <col min="2" max="2" width="12.6640625" customWidth="1"/>
    <col min="3" max="3" width="14.5546875" customWidth="1"/>
    <col min="4" max="4" width="12.33203125" customWidth="1"/>
    <col min="5" max="5" width="12.33203125" style="17" customWidth="1"/>
    <col min="6" max="6" width="17.6640625" customWidth="1"/>
    <col min="7" max="7" width="13.33203125" customWidth="1"/>
    <col min="8" max="8" width="15.109375" customWidth="1"/>
    <col min="11" max="11" width="16" customWidth="1"/>
    <col min="12" max="12" width="11.5546875" customWidth="1"/>
  </cols>
  <sheetData>
    <row r="1" spans="1:12" s="17" customFormat="1" x14ac:dyDescent="0.3">
      <c r="A1" s="44"/>
      <c r="B1" s="44"/>
      <c r="C1" s="41"/>
      <c r="D1" s="41"/>
      <c r="E1" s="40"/>
    </row>
    <row r="2" spans="1:12" ht="15.6" x14ac:dyDescent="0.3">
      <c r="A2" s="103"/>
      <c r="B2" s="103"/>
      <c r="C2" s="103"/>
      <c r="D2" s="103"/>
      <c r="E2" s="47"/>
      <c r="F2" s="43"/>
      <c r="G2" s="49" t="s">
        <v>4</v>
      </c>
      <c r="H2" s="16" t="s">
        <v>7</v>
      </c>
      <c r="K2" s="23" t="s">
        <v>4</v>
      </c>
      <c r="L2" s="29">
        <f>SUM(L3:L6)</f>
        <v>65.56</v>
      </c>
    </row>
    <row r="3" spans="1:12" ht="15.6" x14ac:dyDescent="0.3">
      <c r="A3" s="46"/>
      <c r="B3" s="44"/>
      <c r="C3" s="46"/>
      <c r="D3" s="44"/>
      <c r="E3" s="44"/>
      <c r="F3" s="56" t="s">
        <v>45</v>
      </c>
      <c r="G3" s="52">
        <v>16.57</v>
      </c>
      <c r="H3" s="51"/>
      <c r="K3" s="60" t="s">
        <v>45</v>
      </c>
      <c r="L3" s="21">
        <v>16.57</v>
      </c>
    </row>
    <row r="4" spans="1:12" ht="15.6" x14ac:dyDescent="0.3">
      <c r="A4" s="46"/>
      <c r="B4" s="44"/>
      <c r="C4" s="46"/>
      <c r="D4" s="44"/>
      <c r="E4" s="44"/>
      <c r="F4" s="48" t="s">
        <v>57</v>
      </c>
      <c r="G4" s="53">
        <v>30.28</v>
      </c>
      <c r="H4" s="16"/>
      <c r="K4" s="60" t="s">
        <v>64</v>
      </c>
      <c r="L4" s="21">
        <v>30.28</v>
      </c>
    </row>
    <row r="5" spans="1:12" ht="15.6" x14ac:dyDescent="0.3">
      <c r="A5" s="46"/>
      <c r="B5" s="44"/>
      <c r="C5" s="42"/>
      <c r="D5" s="42"/>
      <c r="F5" s="48" t="s">
        <v>46</v>
      </c>
      <c r="G5" s="53">
        <v>9.61</v>
      </c>
      <c r="H5" s="16"/>
      <c r="K5" s="60" t="s">
        <v>46</v>
      </c>
      <c r="L5" s="21">
        <v>9.61</v>
      </c>
    </row>
    <row r="6" spans="1:12" ht="15.6" x14ac:dyDescent="0.3">
      <c r="A6" s="46"/>
      <c r="B6" s="44"/>
      <c r="C6" s="42"/>
      <c r="D6" s="42"/>
      <c r="F6" s="48" t="s">
        <v>47</v>
      </c>
      <c r="G6" s="55">
        <v>9.1</v>
      </c>
      <c r="H6" s="16"/>
      <c r="K6" s="60" t="s">
        <v>47</v>
      </c>
      <c r="L6" s="21">
        <v>9.1</v>
      </c>
    </row>
    <row r="7" spans="1:12" ht="15.6" x14ac:dyDescent="0.3">
      <c r="A7" s="45"/>
      <c r="B7" s="44"/>
      <c r="C7" s="17"/>
      <c r="D7" s="17"/>
      <c r="F7" s="48" t="s">
        <v>48</v>
      </c>
      <c r="G7" s="16"/>
      <c r="H7" s="54">
        <v>30.64</v>
      </c>
      <c r="K7" s="23" t="s">
        <v>7</v>
      </c>
      <c r="L7" s="29">
        <f>SUM(L8:L9)</f>
        <v>34.94</v>
      </c>
    </row>
    <row r="8" spans="1:12" ht="15.6" x14ac:dyDescent="0.3">
      <c r="A8" s="46"/>
      <c r="B8" s="44"/>
      <c r="C8" s="17"/>
      <c r="D8" s="17"/>
      <c r="F8" s="48" t="s">
        <v>49</v>
      </c>
      <c r="G8" s="16"/>
      <c r="H8" s="50">
        <v>4.3</v>
      </c>
      <c r="K8" s="60" t="s">
        <v>48</v>
      </c>
      <c r="L8" s="21">
        <v>30.64</v>
      </c>
    </row>
    <row r="9" spans="1:12" ht="15.6" x14ac:dyDescent="0.3">
      <c r="A9" s="46"/>
      <c r="B9" s="44"/>
      <c r="C9" s="17"/>
      <c r="D9" s="17"/>
      <c r="F9" s="42"/>
      <c r="G9" s="42"/>
      <c r="H9" s="17"/>
      <c r="K9" s="60" t="s">
        <v>49</v>
      </c>
      <c r="L9" s="21">
        <v>4.3</v>
      </c>
    </row>
    <row r="10" spans="1:12" x14ac:dyDescent="0.3">
      <c r="A10" s="17"/>
      <c r="B10" s="17"/>
      <c r="C10" s="17"/>
      <c r="D10" s="17"/>
      <c r="F10" s="42"/>
      <c r="G10" s="42"/>
      <c r="H10" s="17"/>
    </row>
    <row r="11" spans="1:12" x14ac:dyDescent="0.3">
      <c r="A11" s="17"/>
      <c r="B11" s="17"/>
      <c r="C11" s="17"/>
      <c r="D11" s="17"/>
      <c r="F11" s="42"/>
      <c r="G11" s="42"/>
      <c r="H11" s="17"/>
    </row>
  </sheetData>
  <mergeCells count="2">
    <mergeCell ref="A2:B2"/>
    <mergeCell ref="C2:D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Planilha Inicial</vt:lpstr>
      <vt:lpstr>Rato_Volume</vt:lpstr>
      <vt:lpstr>rat_vol</vt:lpstr>
      <vt:lpstr>Rato_Abundância</vt:lpstr>
      <vt:lpstr>rat_abund</vt:lpstr>
      <vt:lpstr>PSIRI_Rato</vt:lpstr>
      <vt:lpstr>Graficos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Tatiane Micheletti Ribeiro Silva</cp:lastModifiedBy>
  <cp:revision/>
  <dcterms:created xsi:type="dcterms:W3CDTF">2017-03-29T17:26:08Z</dcterms:created>
  <dcterms:modified xsi:type="dcterms:W3CDTF">2026-07-14T08:40:07Z</dcterms:modified>
  <cp:category/>
  <cp:contentStatus/>
</cp:coreProperties>
</file>