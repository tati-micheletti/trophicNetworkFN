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et\Documents\GitHub\trophicNetworkFN\data\original\"/>
    </mc:Choice>
  </mc:AlternateContent>
  <xr:revisionPtr revIDLastSave="0" documentId="13_ncr:1_{60861A4A-2764-4BCC-B053-1828F9E2A6C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lanilha Inicial" sheetId="1" r:id="rId1"/>
    <sheet name="Teiu_Volume" sheetId="2" r:id="rId2"/>
    <sheet name="tegu_vol" sheetId="6" r:id="rId3"/>
    <sheet name="Teiu_Abundancia" sheetId="3" r:id="rId4"/>
    <sheet name="tegu_abund" sheetId="7" r:id="rId5"/>
    <sheet name="PSIRI Teiu" sheetId="4" r:id="rId6"/>
    <sheet name="Gráfico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6" i="2" l="1"/>
  <c r="I26" i="2"/>
  <c r="G26" i="2"/>
  <c r="P24" i="2"/>
  <c r="Q24" i="2"/>
  <c r="R24" i="2"/>
  <c r="S24" i="2"/>
  <c r="T24" i="2"/>
  <c r="U24" i="2"/>
  <c r="C24" i="2"/>
  <c r="D24" i="2"/>
  <c r="E24" i="2"/>
  <c r="F24" i="2"/>
  <c r="G24" i="2"/>
  <c r="H24" i="2"/>
  <c r="I24" i="2"/>
  <c r="J24" i="2"/>
  <c r="J26" i="2" s="1"/>
  <c r="K24" i="2"/>
  <c r="L24" i="2"/>
  <c r="M24" i="2"/>
  <c r="N24" i="2"/>
  <c r="O24" i="2"/>
  <c r="B24" i="2"/>
  <c r="B26" i="2" s="1"/>
  <c r="C21" i="5" l="1"/>
  <c r="C20" i="5"/>
  <c r="H22" i="4"/>
  <c r="H10" i="4"/>
  <c r="H5" i="4"/>
  <c r="E45" i="4"/>
  <c r="F45" i="4" s="1"/>
  <c r="G45" i="4" s="1"/>
  <c r="H45" i="4" s="1"/>
  <c r="E42" i="4"/>
  <c r="F42" i="4"/>
  <c r="G42" i="4"/>
  <c r="H42" i="4"/>
  <c r="E39" i="4"/>
  <c r="F39" i="4"/>
  <c r="G39" i="4" s="1"/>
  <c r="H39" i="4" s="1"/>
  <c r="C20" i="4"/>
  <c r="C21" i="4"/>
  <c r="B22" i="4"/>
  <c r="C22" i="4"/>
  <c r="C23" i="4"/>
  <c r="C24" i="4"/>
  <c r="C25" i="4"/>
  <c r="C26" i="4"/>
  <c r="C27" i="4"/>
  <c r="C28" i="4"/>
  <c r="C29" i="4"/>
  <c r="C12" i="4"/>
  <c r="B15" i="4"/>
  <c r="C15" i="4" s="1"/>
  <c r="B13" i="4"/>
  <c r="C13" i="4" s="1"/>
  <c r="C14" i="4"/>
  <c r="C16" i="4"/>
  <c r="C17" i="4"/>
  <c r="C18" i="4"/>
  <c r="B19" i="4"/>
  <c r="C19" i="4" s="1"/>
  <c r="B5" i="4"/>
  <c r="B3" i="4" s="1"/>
  <c r="C3" i="4" s="1"/>
  <c r="C5" i="4"/>
  <c r="C6" i="4"/>
  <c r="C7" i="4"/>
  <c r="C8" i="4"/>
  <c r="C9" i="4"/>
  <c r="B10" i="4"/>
  <c r="C10" i="4"/>
  <c r="C11" i="4"/>
  <c r="C4" i="4"/>
  <c r="E4" i="4"/>
  <c r="D22" i="4"/>
  <c r="D19" i="4"/>
  <c r="E19" i="4" s="1"/>
  <c r="D15" i="4"/>
  <c r="D13" i="4"/>
  <c r="E13" i="4"/>
  <c r="D10" i="4"/>
  <c r="E10" i="4" s="1"/>
  <c r="D5" i="4"/>
  <c r="D3" i="4" s="1"/>
  <c r="E3" i="4" s="1"/>
  <c r="E22" i="4"/>
  <c r="E23" i="4"/>
  <c r="E24" i="4"/>
  <c r="E25" i="4"/>
  <c r="E26" i="4"/>
  <c r="E27" i="4"/>
  <c r="E28" i="4"/>
  <c r="E29" i="4"/>
  <c r="E6" i="4"/>
  <c r="E7" i="4"/>
  <c r="E8" i="4"/>
  <c r="E9" i="4"/>
  <c r="E11" i="4"/>
  <c r="E12" i="4"/>
  <c r="E14" i="4"/>
  <c r="E15" i="4"/>
  <c r="E16" i="4"/>
  <c r="E17" i="4"/>
  <c r="E18" i="4"/>
  <c r="E20" i="4"/>
  <c r="E21" i="4"/>
  <c r="V36" i="3"/>
  <c r="AF36" i="3" s="1"/>
  <c r="AF53" i="3" s="1"/>
  <c r="Y36" i="3"/>
  <c r="V7" i="3"/>
  <c r="AF7" i="3" s="1"/>
  <c r="M53" i="3"/>
  <c r="N53" i="3"/>
  <c r="O53" i="3"/>
  <c r="P53" i="3"/>
  <c r="Q53" i="3"/>
  <c r="R53" i="3"/>
  <c r="S53" i="3"/>
  <c r="T53" i="3"/>
  <c r="U53" i="3"/>
  <c r="C53" i="3"/>
  <c r="D53" i="3"/>
  <c r="E53" i="3"/>
  <c r="F53" i="3"/>
  <c r="G53" i="3"/>
  <c r="H53" i="3"/>
  <c r="I53" i="3"/>
  <c r="J53" i="3"/>
  <c r="K53" i="3"/>
  <c r="L53" i="3"/>
  <c r="B53" i="3"/>
  <c r="L24" i="3"/>
  <c r="M24" i="3"/>
  <c r="N24" i="3"/>
  <c r="O24" i="3"/>
  <c r="P24" i="3"/>
  <c r="Q24" i="3"/>
  <c r="R24" i="3"/>
  <c r="S24" i="3"/>
  <c r="T24" i="3"/>
  <c r="U24" i="3"/>
  <c r="C24" i="3"/>
  <c r="D24" i="3"/>
  <c r="E24" i="3"/>
  <c r="F24" i="3"/>
  <c r="G24" i="3"/>
  <c r="H24" i="3"/>
  <c r="I24" i="3"/>
  <c r="J24" i="3"/>
  <c r="K24" i="3"/>
  <c r="B24" i="3"/>
  <c r="N26" i="3"/>
  <c r="O26" i="3"/>
  <c r="P26" i="3"/>
  <c r="Q26" i="3"/>
  <c r="R26" i="3"/>
  <c r="S26" i="3"/>
  <c r="T26" i="3"/>
  <c r="U26" i="3"/>
  <c r="H26" i="3"/>
  <c r="I26" i="3"/>
  <c r="J26" i="3"/>
  <c r="K26" i="3"/>
  <c r="L26" i="3"/>
  <c r="M26" i="3"/>
  <c r="C26" i="3"/>
  <c r="D26" i="3"/>
  <c r="E26" i="3"/>
  <c r="F26" i="3"/>
  <c r="G26" i="3"/>
  <c r="B26" i="3"/>
  <c r="V34" i="3"/>
  <c r="AC34" i="3"/>
  <c r="AC53" i="3" s="1"/>
  <c r="V37" i="3"/>
  <c r="AF37" i="3"/>
  <c r="V5" i="3"/>
  <c r="AC5" i="3"/>
  <c r="AQ5" i="3" s="1"/>
  <c r="AC24" i="3"/>
  <c r="V8" i="3"/>
  <c r="Z8" i="3" s="1"/>
  <c r="AF8" i="3"/>
  <c r="V33" i="3"/>
  <c r="AB33" i="3"/>
  <c r="AF33" i="3"/>
  <c r="AQ33" i="3"/>
  <c r="V2" i="3"/>
  <c r="AB2" i="3"/>
  <c r="AQ2" i="3" s="1"/>
  <c r="V3" i="3"/>
  <c r="AB3" i="3"/>
  <c r="V4" i="3"/>
  <c r="AB4" i="3"/>
  <c r="V6" i="3"/>
  <c r="AJ6" i="3"/>
  <c r="AJ24" i="3" s="1"/>
  <c r="AQ6" i="3"/>
  <c r="V9" i="3"/>
  <c r="AF9" i="3" s="1"/>
  <c r="V31" i="3"/>
  <c r="AB31" i="3" s="1"/>
  <c r="V32" i="3"/>
  <c r="AB32" i="3"/>
  <c r="AQ32" i="3"/>
  <c r="AQ34" i="3"/>
  <c r="V35" i="3"/>
  <c r="AJ35" i="3"/>
  <c r="AQ35" i="3" s="1"/>
  <c r="Z37" i="3"/>
  <c r="AQ37" i="3" s="1"/>
  <c r="Z53" i="3"/>
  <c r="V38" i="3"/>
  <c r="AD38" i="3" s="1"/>
  <c r="AF38" i="3"/>
  <c r="V8" i="2"/>
  <c r="Z8" i="2" s="1"/>
  <c r="AF8" i="2"/>
  <c r="AF24" i="2" s="1"/>
  <c r="V7" i="2"/>
  <c r="AF7" i="2"/>
  <c r="V6" i="2"/>
  <c r="AJ6" i="2"/>
  <c r="V4" i="2"/>
  <c r="AB4" i="2"/>
  <c r="AF4" i="2"/>
  <c r="AQ4" i="2"/>
  <c r="V3" i="2"/>
  <c r="AB3" i="2"/>
  <c r="AQ3" i="2"/>
  <c r="V2" i="2"/>
  <c r="AB2" i="2"/>
  <c r="AQ2" i="2"/>
  <c r="V5" i="2"/>
  <c r="AC5" i="2"/>
  <c r="AQ5" i="2" s="1"/>
  <c r="Y7" i="2"/>
  <c r="V9" i="2"/>
  <c r="AD9" i="2"/>
  <c r="AF4" i="3"/>
  <c r="AQ4" i="3"/>
  <c r="AQ3" i="3"/>
  <c r="AQ7" i="2"/>
  <c r="AF9" i="2"/>
  <c r="AQ9" i="2" s="1"/>
  <c r="AQ6" i="2"/>
  <c r="H3" i="4"/>
  <c r="H15" i="4"/>
  <c r="H13" i="4"/>
  <c r="H19" i="4"/>
  <c r="H30" i="4" s="1"/>
  <c r="E37" i="4"/>
  <c r="F37" i="4"/>
  <c r="G37" i="4"/>
  <c r="H37" i="4" s="1"/>
  <c r="E38" i="4"/>
  <c r="F38" i="4" s="1"/>
  <c r="G38" i="4" s="1"/>
  <c r="H38" i="4" s="1"/>
  <c r="E40" i="4"/>
  <c r="F40" i="4"/>
  <c r="G40" i="4"/>
  <c r="H40" i="4" s="1"/>
  <c r="E41" i="4"/>
  <c r="F41" i="4"/>
  <c r="G41" i="4"/>
  <c r="H41" i="4"/>
  <c r="E43" i="4"/>
  <c r="F43" i="4"/>
  <c r="G43" i="4"/>
  <c r="H43" i="4" s="1"/>
  <c r="E44" i="4"/>
  <c r="F44" i="4" s="1"/>
  <c r="G44" i="4" s="1"/>
  <c r="H44" i="4" s="1"/>
  <c r="E46" i="4"/>
  <c r="F46" i="4"/>
  <c r="G46" i="4"/>
  <c r="H46" i="4" s="1"/>
  <c r="E47" i="4"/>
  <c r="F47" i="4"/>
  <c r="G47" i="4"/>
  <c r="H47" i="4"/>
  <c r="E48" i="4"/>
  <c r="F48" i="4"/>
  <c r="G48" i="4"/>
  <c r="H48" i="4" s="1"/>
  <c r="E49" i="4"/>
  <c r="F49" i="4" s="1"/>
  <c r="G49" i="4" s="1"/>
  <c r="H49" i="4" s="1"/>
  <c r="E50" i="4"/>
  <c r="F50" i="4"/>
  <c r="G50" i="4"/>
  <c r="H50" i="4" s="1"/>
  <c r="E51" i="4"/>
  <c r="F51" i="4"/>
  <c r="G51" i="4"/>
  <c r="H51" i="4"/>
  <c r="E52" i="4"/>
  <c r="F52" i="4"/>
  <c r="G52" i="4"/>
  <c r="H52" i="4" s="1"/>
  <c r="E53" i="4"/>
  <c r="F53" i="4" s="1"/>
  <c r="G53" i="4" s="1"/>
  <c r="H53" i="4" s="1"/>
  <c r="E54" i="4"/>
  <c r="F54" i="4"/>
  <c r="G54" i="4"/>
  <c r="H54" i="4" s="1"/>
  <c r="E55" i="4"/>
  <c r="F55" i="4"/>
  <c r="G55" i="4"/>
  <c r="H55" i="4"/>
  <c r="E36" i="4"/>
  <c r="F36" i="4"/>
  <c r="G36" i="4"/>
  <c r="H36" i="4" s="1"/>
  <c r="V52" i="3"/>
  <c r="AD52" i="3" s="1"/>
  <c r="AQ52" i="3" s="1"/>
  <c r="V40" i="3"/>
  <c r="AP40" i="3" s="1"/>
  <c r="AL40" i="3"/>
  <c r="V41" i="3"/>
  <c r="AG41" i="3"/>
  <c r="AQ41" i="3" s="1"/>
  <c r="V42" i="3"/>
  <c r="AP42" i="3" s="1"/>
  <c r="V43" i="3"/>
  <c r="AB43" i="3" s="1"/>
  <c r="AQ43" i="3" s="1"/>
  <c r="V44" i="3"/>
  <c r="AA44" i="3"/>
  <c r="AQ44" i="3" s="1"/>
  <c r="V45" i="3"/>
  <c r="AP45" i="3"/>
  <c r="AQ45" i="3" s="1"/>
  <c r="V46" i="3"/>
  <c r="AI46" i="3" s="1"/>
  <c r="V47" i="3"/>
  <c r="AH47" i="3"/>
  <c r="AQ47" i="3" s="1"/>
  <c r="AH53" i="3"/>
  <c r="V48" i="3"/>
  <c r="AL48" i="3"/>
  <c r="AQ48" i="3" s="1"/>
  <c r="V49" i="3"/>
  <c r="AL49" i="3" s="1"/>
  <c r="V50" i="3"/>
  <c r="X50" i="3" s="1"/>
  <c r="V51" i="3"/>
  <c r="AE51" i="3" s="1"/>
  <c r="AE53" i="3" s="1"/>
  <c r="AO51" i="3"/>
  <c r="V39" i="3"/>
  <c r="AG39" i="3" s="1"/>
  <c r="V22" i="3"/>
  <c r="AB22" i="3" s="1"/>
  <c r="AA53" i="3"/>
  <c r="AB39" i="3"/>
  <c r="W39" i="3"/>
  <c r="AB46" i="3"/>
  <c r="AO50" i="3"/>
  <c r="AO53" i="3"/>
  <c r="AL50" i="3"/>
  <c r="AJ52" i="3"/>
  <c r="AL39" i="3"/>
  <c r="AP39" i="3"/>
  <c r="AM49" i="3"/>
  <c r="AB51" i="3"/>
  <c r="AO22" i="3"/>
  <c r="V11" i="3"/>
  <c r="AL11" i="3"/>
  <c r="V12" i="3"/>
  <c r="AG12" i="3"/>
  <c r="AQ12" i="3" s="1"/>
  <c r="V13" i="3"/>
  <c r="AM13" i="3" s="1"/>
  <c r="V14" i="3"/>
  <c r="AB14" i="3"/>
  <c r="AQ14" i="3"/>
  <c r="V15" i="3"/>
  <c r="AA15" i="3"/>
  <c r="AQ15" i="3" s="1"/>
  <c r="V16" i="3"/>
  <c r="AP16" i="3"/>
  <c r="AQ16" i="3"/>
  <c r="V17" i="3"/>
  <c r="AI17" i="3" s="1"/>
  <c r="AB17" i="3"/>
  <c r="V18" i="3"/>
  <c r="AH18" i="3"/>
  <c r="AH24" i="3" s="1"/>
  <c r="V19" i="3"/>
  <c r="AL19" i="3" s="1"/>
  <c r="AQ19" i="3" s="1"/>
  <c r="V20" i="3"/>
  <c r="AM20" i="3" s="1"/>
  <c r="AL20" i="3"/>
  <c r="V21" i="3"/>
  <c r="AO21" i="3" s="1"/>
  <c r="AO24" i="3" s="1"/>
  <c r="AE22" i="3"/>
  <c r="AE24" i="3" s="1"/>
  <c r="V23" i="3"/>
  <c r="AD23" i="3"/>
  <c r="V10" i="3"/>
  <c r="AG10" i="3" s="1"/>
  <c r="AG24" i="3" s="1"/>
  <c r="AJ53" i="3"/>
  <c r="AP11" i="3"/>
  <c r="AQ11" i="3"/>
  <c r="AJ23" i="3"/>
  <c r="AQ23" i="3" s="1"/>
  <c r="AP13" i="3"/>
  <c r="Y20" i="3"/>
  <c r="X21" i="3"/>
  <c r="X24" i="3" s="1"/>
  <c r="W22" i="3"/>
  <c r="V11" i="2"/>
  <c r="AL11" i="2" s="1"/>
  <c r="AQ11" i="2" s="1"/>
  <c r="AP11" i="2"/>
  <c r="V12" i="2"/>
  <c r="AG12" i="2"/>
  <c r="AQ12" i="2"/>
  <c r="V13" i="2"/>
  <c r="AM13" i="2" s="1"/>
  <c r="AP13" i="2"/>
  <c r="V14" i="2"/>
  <c r="AB14" i="2"/>
  <c r="AQ14" i="2" s="1"/>
  <c r="V15" i="2"/>
  <c r="AA15" i="2"/>
  <c r="AA24" i="2"/>
  <c r="V16" i="2"/>
  <c r="AP16" i="2"/>
  <c r="AQ16" i="2" s="1"/>
  <c r="V17" i="2"/>
  <c r="AI17" i="2"/>
  <c r="AI24" i="2"/>
  <c r="V18" i="2"/>
  <c r="AH18" i="2"/>
  <c r="AQ18" i="2" s="1"/>
  <c r="AH24" i="2"/>
  <c r="V19" i="2"/>
  <c r="AL19" i="2" s="1"/>
  <c r="AQ19" i="2" s="1"/>
  <c r="V20" i="2"/>
  <c r="Y20" i="2"/>
  <c r="Y24" i="2"/>
  <c r="V21" i="2"/>
  <c r="AL21" i="2" s="1"/>
  <c r="AQ21" i="2" s="1"/>
  <c r="AO21" i="2"/>
  <c r="V22" i="2"/>
  <c r="AO22" i="2" s="1"/>
  <c r="V23" i="2"/>
  <c r="AJ23" i="2" s="1"/>
  <c r="AJ24" i="2" s="1"/>
  <c r="AD23" i="2"/>
  <c r="AQ23" i="2" s="1"/>
  <c r="AD24" i="2"/>
  <c r="V10" i="2"/>
  <c r="AK10" i="2" s="1"/>
  <c r="AK24" i="2" s="1"/>
  <c r="AB17" i="2"/>
  <c r="AQ17" i="2" s="1"/>
  <c r="AB22" i="2"/>
  <c r="AL20" i="2"/>
  <c r="X21" i="2"/>
  <c r="X24" i="2"/>
  <c r="AG10" i="2"/>
  <c r="AG24" i="2"/>
  <c r="AM20" i="2"/>
  <c r="AQ15" i="2"/>
  <c r="AQ20" i="2"/>
  <c r="AM24" i="3" l="1"/>
  <c r="AQ13" i="3"/>
  <c r="AQ22" i="3"/>
  <c r="AM24" i="2"/>
  <c r="AQ13" i="2"/>
  <c r="AG53" i="3"/>
  <c r="AF24" i="3"/>
  <c r="AQ20" i="3"/>
  <c r="X53" i="3"/>
  <c r="AQ50" i="3"/>
  <c r="AQ40" i="3"/>
  <c r="AQ8" i="2"/>
  <c r="Z24" i="2"/>
  <c r="AB24" i="3"/>
  <c r="AQ36" i="3"/>
  <c r="Z24" i="3"/>
  <c r="AQ8" i="3"/>
  <c r="AB56" i="3"/>
  <c r="AQ31" i="3"/>
  <c r="AB53" i="3"/>
  <c r="AI24" i="3"/>
  <c r="AQ17" i="3"/>
  <c r="AP53" i="3"/>
  <c r="AD56" i="3"/>
  <c r="AQ38" i="3"/>
  <c r="AD53" i="3"/>
  <c r="AO24" i="2"/>
  <c r="AI53" i="3"/>
  <c r="AQ46" i="3"/>
  <c r="AD9" i="3"/>
  <c r="AP10" i="2"/>
  <c r="AP24" i="2" s="1"/>
  <c r="AL10" i="2"/>
  <c r="AL24" i="2" s="1"/>
  <c r="Y49" i="3"/>
  <c r="D30" i="4"/>
  <c r="AB10" i="2"/>
  <c r="AB24" i="2" s="1"/>
  <c r="AK10" i="3"/>
  <c r="AK24" i="3" s="1"/>
  <c r="AK39" i="3"/>
  <c r="AK53" i="3" s="1"/>
  <c r="Y7" i="3"/>
  <c r="AE22" i="2"/>
  <c r="AE24" i="2" s="1"/>
  <c r="AP10" i="3"/>
  <c r="AP24" i="3" s="1"/>
  <c r="W10" i="3"/>
  <c r="AA24" i="3"/>
  <c r="W51" i="3"/>
  <c r="AQ51" i="3" s="1"/>
  <c r="AF56" i="3"/>
  <c r="AE56" i="3"/>
  <c r="W22" i="2"/>
  <c r="AL10" i="3"/>
  <c r="W10" i="2"/>
  <c r="AN39" i="3"/>
  <c r="AN53" i="3" s="1"/>
  <c r="AM42" i="3"/>
  <c r="AC24" i="2"/>
  <c r="AL53" i="3"/>
  <c r="E5" i="4"/>
  <c r="AL21" i="3"/>
  <c r="AQ21" i="3" s="1"/>
  <c r="AN10" i="3"/>
  <c r="AN24" i="3" s="1"/>
  <c r="AQ18" i="3"/>
  <c r="AN10" i="2"/>
  <c r="AN24" i="2" s="1"/>
  <c r="AB10" i="3"/>
  <c r="AG27" i="2"/>
  <c r="AE27" i="2"/>
  <c r="V27" i="2"/>
  <c r="AQ9" i="3" l="1"/>
  <c r="AD24" i="3"/>
  <c r="AI27" i="2"/>
  <c r="AM53" i="3"/>
  <c r="AQ42" i="3"/>
  <c r="AQ39" i="3"/>
  <c r="W53" i="3"/>
  <c r="AL24" i="3"/>
  <c r="X27" i="2"/>
  <c r="AQ10" i="3"/>
  <c r="W24" i="3"/>
  <c r="AQ7" i="3"/>
  <c r="Y24" i="3"/>
  <c r="AQ49" i="3"/>
  <c r="Y53" i="3"/>
  <c r="W24" i="2"/>
  <c r="AQ10" i="2"/>
  <c r="W56" i="3"/>
  <c r="AQ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I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pode ser fruta, parece uma ervilha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Q1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pode ser fruta, parece uma ervilha
</t>
        </r>
      </text>
    </comment>
    <comment ref="AL1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pode ser fruta, parece uma ervilha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24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Esse valor é N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FO é em quantas amostras o item em questão apareceu. Em quatas das 77 amostras apareceram rattus por ex.</t>
        </r>
      </text>
    </comment>
    <comment ref="D1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N (ABUNDANCIA) é a soma da quantidade do item em questão em cada amostra. Apontado pela planilha "Fezes gato N".
Ex: Rattus apareceu 2x no estomago 1 e 3x no estomago 2, então o N é 5 ( que é 2+3) e a FO é 2 (pq apareceu apenas nos estomagos 1 e 2).  </t>
        </r>
      </text>
    </comment>
    <comment ref="F1" authorId="0" shapeId="0" xr:uid="{00000000-0006-0000-0300-000003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É a proporção numérica em que cada item ocorre nas amostras
</t>
        </r>
      </text>
    </comment>
    <comment ref="B30" authorId="0" shapeId="0" xr:uid="{00000000-0006-0000-0300-000004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TOTAL DE AMOSTRAS
</t>
        </r>
      </text>
    </comment>
    <comment ref="D30" authorId="0" shapeId="0" xr:uid="{00000000-0006-0000-0300-000005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Total de vezes que os itens apareceram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M1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considerando as sementes como fruta NI
</t>
        </r>
      </text>
    </comment>
    <comment ref="D14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Considerando sementes como frutas
</t>
        </r>
      </text>
    </comment>
  </commentList>
</comments>
</file>

<file path=xl/sharedStrings.xml><?xml version="1.0" encoding="utf-8"?>
<sst xmlns="http://schemas.openxmlformats.org/spreadsheetml/2006/main" count="748" uniqueCount="148">
  <si>
    <t>MÊS</t>
  </si>
  <si>
    <t>ANO</t>
  </si>
  <si>
    <t>ESPÉCIE</t>
  </si>
  <si>
    <t>ID</t>
  </si>
  <si>
    <t>Mamífero NI</t>
  </si>
  <si>
    <t>N MAMIF</t>
  </si>
  <si>
    <t>Roedor NI</t>
  </si>
  <si>
    <t>N ROEDOR</t>
  </si>
  <si>
    <t>Rattus</t>
  </si>
  <si>
    <t>N RATTUS</t>
  </si>
  <si>
    <t>Kerodon</t>
  </si>
  <si>
    <t>N KERODON</t>
  </si>
  <si>
    <t>Mus musculus</t>
  </si>
  <si>
    <t>N Mus</t>
  </si>
  <si>
    <t>Trachylepis</t>
  </si>
  <si>
    <t>N TRACHY</t>
  </si>
  <si>
    <t>Amphisbaena</t>
  </si>
  <si>
    <t>N AMPHISB</t>
  </si>
  <si>
    <t>Caranguejo</t>
  </si>
  <si>
    <t>N CARANG</t>
  </si>
  <si>
    <t>Vegetal</t>
  </si>
  <si>
    <t>N VEG</t>
  </si>
  <si>
    <t>Seriguela</t>
  </si>
  <si>
    <t>N SERIGUELA</t>
  </si>
  <si>
    <t>Abacaxi</t>
  </si>
  <si>
    <t>N ABACAXI</t>
  </si>
  <si>
    <t>Banana</t>
  </si>
  <si>
    <t>N BANANA</t>
  </si>
  <si>
    <t>Melancia</t>
  </si>
  <si>
    <t>N MELANCIA</t>
  </si>
  <si>
    <t>Caju</t>
  </si>
  <si>
    <t>N CAJU</t>
  </si>
  <si>
    <t>Frutinha (cacto)</t>
  </si>
  <si>
    <t>N FRUT</t>
  </si>
  <si>
    <t>Semente G</t>
  </si>
  <si>
    <t>N SEMENTE G</t>
  </si>
  <si>
    <t>Inseto</t>
  </si>
  <si>
    <t>N INSETO</t>
  </si>
  <si>
    <t>Homoptera</t>
  </si>
  <si>
    <t>N HOMOPT</t>
  </si>
  <si>
    <t>Blatodea</t>
  </si>
  <si>
    <t>N BLATOD</t>
  </si>
  <si>
    <t>NÃO ID</t>
  </si>
  <si>
    <t>N NÃO ID</t>
  </si>
  <si>
    <t>OUT</t>
  </si>
  <si>
    <t>Salvator merianae</t>
  </si>
  <si>
    <t>TMFN 15</t>
  </si>
  <si>
    <t>TMFN 19</t>
  </si>
  <si>
    <t>FEV</t>
  </si>
  <si>
    <t>TMFN 29</t>
  </si>
  <si>
    <t>TMFN 41</t>
  </si>
  <si>
    <t>TMFN 105</t>
  </si>
  <si>
    <t>TMFN 108</t>
  </si>
  <si>
    <t>TMFN 113</t>
  </si>
  <si>
    <t>TMFN 116</t>
  </si>
  <si>
    <t>TMFN 122</t>
  </si>
  <si>
    <t>TMFN 128</t>
  </si>
  <si>
    <t>TMFN 131</t>
  </si>
  <si>
    <t>NOV</t>
  </si>
  <si>
    <t>TMFN 140</t>
  </si>
  <si>
    <t>TMFN 150</t>
  </si>
  <si>
    <t>TMFN 151</t>
  </si>
  <si>
    <t>TMFN 152</t>
  </si>
  <si>
    <t>TMFN 153</t>
  </si>
  <si>
    <t>TMFN 160</t>
  </si>
  <si>
    <t>TMFN 161</t>
  </si>
  <si>
    <t>TMFN 162</t>
  </si>
  <si>
    <t>TMFN 163</t>
  </si>
  <si>
    <t>TMFN 164</t>
  </si>
  <si>
    <t>TMFN 165</t>
  </si>
  <si>
    <t>TOTAL</t>
  </si>
  <si>
    <t>Vegetal NI</t>
  </si>
  <si>
    <t>Fruta NI</t>
  </si>
  <si>
    <t>Semente NI</t>
  </si>
  <si>
    <t>PV%</t>
  </si>
  <si>
    <t>ITEM</t>
  </si>
  <si>
    <t>MÉDIA</t>
  </si>
  <si>
    <t>Rattus sp</t>
  </si>
  <si>
    <t>Inseto NI</t>
  </si>
  <si>
    <t>Não ID</t>
  </si>
  <si>
    <t>PN%</t>
  </si>
  <si>
    <t>PN% (2)</t>
  </si>
  <si>
    <t>FO</t>
  </si>
  <si>
    <t xml:space="preserve"> N (1)</t>
  </si>
  <si>
    <t xml:space="preserve"> N (2)</t>
  </si>
  <si>
    <t>CONTAGEM</t>
  </si>
  <si>
    <t>(SOMA)</t>
  </si>
  <si>
    <t>SOMA</t>
  </si>
  <si>
    <t>Considerando o N de sementes como 1 (uma fruta), temos a tabela abaixo:</t>
  </si>
  <si>
    <t>Semente NI (2)</t>
  </si>
  <si>
    <t>Itens Alimentares</t>
  </si>
  <si>
    <t>N</t>
  </si>
  <si>
    <t>%PSIRI</t>
  </si>
  <si>
    <t xml:space="preserve">FO    </t>
  </si>
  <si>
    <t>FO%</t>
  </si>
  <si>
    <t>N%</t>
  </si>
  <si>
    <t>Média</t>
  </si>
  <si>
    <t>Mamíferos</t>
  </si>
  <si>
    <t>x</t>
  </si>
  <si>
    <t>X</t>
  </si>
  <si>
    <t xml:space="preserve">  Mamifero NI</t>
  </si>
  <si>
    <t xml:space="preserve">  Roedores</t>
  </si>
  <si>
    <t xml:space="preserve">     Roedores NI</t>
  </si>
  <si>
    <t xml:space="preserve">     Mus musculus</t>
  </si>
  <si>
    <t xml:space="preserve">     Rattus sp</t>
  </si>
  <si>
    <t xml:space="preserve">     Kerodon rupestris</t>
  </si>
  <si>
    <t>Réptil</t>
  </si>
  <si>
    <r>
      <t xml:space="preserve">   </t>
    </r>
    <r>
      <rPr>
        <i/>
        <sz val="12"/>
        <color theme="1"/>
        <rFont val="Times New Roman"/>
        <family val="1"/>
      </rPr>
      <t>Trachylepis atlantica</t>
    </r>
  </si>
  <si>
    <r>
      <t xml:space="preserve">  </t>
    </r>
    <r>
      <rPr>
        <i/>
        <sz val="12"/>
        <color theme="1"/>
        <rFont val="Times New Roman"/>
        <family val="1"/>
      </rPr>
      <t>Amphisbaena</t>
    </r>
  </si>
  <si>
    <t>Artropoda</t>
  </si>
  <si>
    <t xml:space="preserve">   Caranguejo</t>
  </si>
  <si>
    <t xml:space="preserve">   Inseto</t>
  </si>
  <si>
    <r>
      <t xml:space="preserve">      </t>
    </r>
    <r>
      <rPr>
        <sz val="12"/>
        <color theme="1"/>
        <rFont val="Times New Roman"/>
        <family val="1"/>
      </rPr>
      <t>Inseto NI</t>
    </r>
  </si>
  <si>
    <t xml:space="preserve">      Homoptera</t>
  </si>
  <si>
    <r>
      <t xml:space="preserve">      </t>
    </r>
    <r>
      <rPr>
        <sz val="12"/>
        <color theme="1"/>
        <rFont val="Times New Roman"/>
        <family val="1"/>
      </rPr>
      <t>Blatodea</t>
    </r>
  </si>
  <si>
    <t xml:space="preserve">    Vegetal NI</t>
  </si>
  <si>
    <t xml:space="preserve">    Sementes NI</t>
  </si>
  <si>
    <t xml:space="preserve">    Frutas</t>
  </si>
  <si>
    <t xml:space="preserve">     Fruta NI</t>
  </si>
  <si>
    <t xml:space="preserve">     Abacaxi</t>
  </si>
  <si>
    <t xml:space="preserve">     Banana</t>
  </si>
  <si>
    <t xml:space="preserve">     Melancia</t>
  </si>
  <si>
    <t xml:space="preserve">     Caju</t>
  </si>
  <si>
    <t xml:space="preserve">Nesta análise foi utilizado o valor de N=1 (abundância- representado por N (2)-) para sementes. O critério foi escolhido pois muitas sementes podem representar um único fruto. </t>
  </si>
  <si>
    <t xml:space="preserve">     Seriguela</t>
  </si>
  <si>
    <t>%PSIRI = [(%PN + %PM)* %FO] / 2/100</t>
  </si>
  <si>
    <t>ITENS</t>
  </si>
  <si>
    <t>PN %</t>
  </si>
  <si>
    <t>PN% + PV%</t>
  </si>
  <si>
    <t>x FO%</t>
  </si>
  <si>
    <t>/2</t>
  </si>
  <si>
    <t>/100</t>
  </si>
  <si>
    <t>Répteis</t>
  </si>
  <si>
    <t>Artrópoda</t>
  </si>
  <si>
    <t>Frutas</t>
  </si>
  <si>
    <t>Mamíferos NI</t>
  </si>
  <si>
    <t>Rattus sp.</t>
  </si>
  <si>
    <t>Kerodon rupestris</t>
  </si>
  <si>
    <t>Trachylepis atlantica</t>
  </si>
  <si>
    <t>Amphisbaena rydlei</t>
  </si>
  <si>
    <t>Roedores</t>
  </si>
  <si>
    <t>Sementes</t>
  </si>
  <si>
    <t>V</t>
  </si>
  <si>
    <t>Unknown</t>
  </si>
  <si>
    <t>Semente</t>
  </si>
  <si>
    <t>Fruta</t>
  </si>
  <si>
    <t>Mamífero</t>
  </si>
  <si>
    <t>Roedor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</si>
</sst>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b/>
      <i/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98F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/>
    <xf numFmtId="0" fontId="0" fillId="0" borderId="0" xfId="0" applyFill="1" applyBorder="1"/>
    <xf numFmtId="2" fontId="3" fillId="0" borderId="1" xfId="0" applyNumberFormat="1" applyFont="1" applyBorder="1" applyAlignment="1">
      <alignment horizontal="center"/>
    </xf>
    <xf numFmtId="2" fontId="3" fillId="5" borderId="1" xfId="0" applyNumberFormat="1" applyFont="1" applyFill="1" applyBorder="1" applyAlignment="1">
      <alignment vertical="center"/>
    </xf>
    <xf numFmtId="0" fontId="3" fillId="0" borderId="0" xfId="0" applyFont="1" applyFill="1"/>
    <xf numFmtId="0" fontId="3" fillId="9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2" fontId="3" fillId="5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0" applyFont="1"/>
    <xf numFmtId="2" fontId="0" fillId="0" borderId="0" xfId="0" applyNumberFormat="1"/>
    <xf numFmtId="0" fontId="5" fillId="0" borderId="1" xfId="0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7" fillId="0" borderId="0" xfId="0" applyFont="1" applyFill="1" applyBorder="1"/>
    <xf numFmtId="2" fontId="3" fillId="0" borderId="0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2" fontId="5" fillId="0" borderId="1" xfId="0" applyNumberFormat="1" applyFont="1" applyFill="1" applyBorder="1" applyAlignment="1">
      <alignment horizontal="center" vertical="center"/>
    </xf>
    <xf numFmtId="2" fontId="13" fillId="0" borderId="1" xfId="0" applyNumberFormat="1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164" fontId="3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Border="1"/>
    <xf numFmtId="0" fontId="3" fillId="5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3" fillId="0" borderId="0" xfId="0" applyNumberFormat="1" applyFont="1"/>
    <xf numFmtId="1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/>
    <xf numFmtId="0" fontId="4" fillId="0" borderId="1" xfId="0" applyFont="1" applyFill="1" applyBorder="1"/>
    <xf numFmtId="0" fontId="14" fillId="0" borderId="1" xfId="0" applyFont="1" applyFill="1" applyBorder="1"/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2" fontId="7" fillId="0" borderId="0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0" fontId="0" fillId="0" borderId="0" xfId="0" applyFont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2" fontId="12" fillId="0" borderId="1" xfId="0" applyNumberFormat="1" applyFont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7" xfId="0" applyBorder="1"/>
    <xf numFmtId="0" fontId="3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0" fillId="12" borderId="0" xfId="0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C09B"/>
      <color rgb="FFF2A36E"/>
      <color rgb="FFFF8F43"/>
      <color rgb="FFFF6600"/>
      <color rgb="FFE1F27E"/>
      <color rgb="FFFCEC8E"/>
      <color rgb="FFE1F208"/>
      <color rgb="FFFF0066"/>
      <color rgb="FFE98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>
                <a:latin typeface="Times New Roman" panose="02020603050405020304" pitchFamily="18" charset="0"/>
              </a:rPr>
              <a:t>Contribuição presa-específica na dieta de </a:t>
            </a:r>
            <a:r>
              <a:rPr lang="pt-BR" i="1" baseline="0">
                <a:latin typeface="Times New Roman" panose="02020603050405020304" pitchFamily="18" charset="0"/>
              </a:rPr>
              <a:t>Salvator merianae</a:t>
            </a:r>
          </a:p>
        </c:rich>
      </c:tx>
      <c:layout>
        <c:manualLayout>
          <c:xMode val="edge"/>
          <c:yMode val="edge"/>
          <c:x val="0.18581003678368999"/>
          <c:y val="1.1869432504051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790412800818897"/>
          <c:y val="0.2247279220767083"/>
          <c:w val="0.75607734690823614"/>
          <c:h val="0.54813600064300538"/>
        </c:manualLayout>
      </c:layout>
      <c:barChart>
        <c:barDir val="bar"/>
        <c:grouping val="stacked"/>
        <c:varyColors val="0"/>
        <c:ser>
          <c:idx val="3"/>
          <c:order val="0"/>
          <c:tx>
            <c:strRef>
              <c:f>Gráficos!$H$1</c:f>
              <c:strCache>
                <c:ptCount val="1"/>
                <c:pt idx="0">
                  <c:v>Vegetal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Gráficos!$D$2:$D$12</c:f>
              <c:strCache>
                <c:ptCount val="11"/>
                <c:pt idx="0">
                  <c:v>Mamíferos NI</c:v>
                </c:pt>
                <c:pt idx="1">
                  <c:v>Mus musculus</c:v>
                </c:pt>
                <c:pt idx="2">
                  <c:v>Rattus sp.</c:v>
                </c:pt>
                <c:pt idx="3">
                  <c:v>Kerodon rupestris</c:v>
                </c:pt>
                <c:pt idx="4">
                  <c:v>Trachylepis atlantica</c:v>
                </c:pt>
                <c:pt idx="5">
                  <c:v>Amphisbaena rydlei</c:v>
                </c:pt>
                <c:pt idx="6">
                  <c:v>Caranguejo</c:v>
                </c:pt>
                <c:pt idx="7">
                  <c:v>Inseto</c:v>
                </c:pt>
                <c:pt idx="8">
                  <c:v>Vegetal NI</c:v>
                </c:pt>
                <c:pt idx="9">
                  <c:v>Sementes</c:v>
                </c:pt>
                <c:pt idx="10">
                  <c:v>Frutas</c:v>
                </c:pt>
              </c:strCache>
            </c:strRef>
          </c:cat>
          <c:val>
            <c:numRef>
              <c:f>Gráficos!$H$2:$H$12</c:f>
              <c:numCache>
                <c:formatCode>General</c:formatCode>
                <c:ptCount val="11"/>
                <c:pt idx="8">
                  <c:v>0.64</c:v>
                </c:pt>
                <c:pt idx="9">
                  <c:v>9.9600000000000009</c:v>
                </c:pt>
                <c:pt idx="10">
                  <c:v>30.72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4-4B34-8B1C-FF6989B188CD}"/>
            </c:ext>
          </c:extLst>
        </c:ser>
        <c:ser>
          <c:idx val="2"/>
          <c:order val="1"/>
          <c:tx>
            <c:strRef>
              <c:f>Gráficos!$G$1</c:f>
              <c:strCache>
                <c:ptCount val="1"/>
                <c:pt idx="0">
                  <c:v>Artrópoda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Gráficos!$D$2:$D$12</c:f>
              <c:strCache>
                <c:ptCount val="11"/>
                <c:pt idx="0">
                  <c:v>Mamíferos NI</c:v>
                </c:pt>
                <c:pt idx="1">
                  <c:v>Mus musculus</c:v>
                </c:pt>
                <c:pt idx="2">
                  <c:v>Rattus sp.</c:v>
                </c:pt>
                <c:pt idx="3">
                  <c:v>Kerodon rupestris</c:v>
                </c:pt>
                <c:pt idx="4">
                  <c:v>Trachylepis atlantica</c:v>
                </c:pt>
                <c:pt idx="5">
                  <c:v>Amphisbaena rydlei</c:v>
                </c:pt>
                <c:pt idx="6">
                  <c:v>Caranguejo</c:v>
                </c:pt>
                <c:pt idx="7">
                  <c:v>Inseto</c:v>
                </c:pt>
                <c:pt idx="8">
                  <c:v>Vegetal NI</c:v>
                </c:pt>
                <c:pt idx="9">
                  <c:v>Sementes</c:v>
                </c:pt>
                <c:pt idx="10">
                  <c:v>Frutas</c:v>
                </c:pt>
              </c:strCache>
            </c:strRef>
          </c:cat>
          <c:val>
            <c:numRef>
              <c:f>Gráficos!$G$2:$G$12</c:f>
              <c:numCache>
                <c:formatCode>General</c:formatCode>
                <c:ptCount val="11"/>
                <c:pt idx="6">
                  <c:v>3.23</c:v>
                </c:pt>
                <c:pt idx="7">
                  <c:v>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4-4B34-8B1C-FF6989B188CD}"/>
            </c:ext>
          </c:extLst>
        </c:ser>
        <c:ser>
          <c:idx val="1"/>
          <c:order val="2"/>
          <c:tx>
            <c:strRef>
              <c:f>Gráficos!$F$1</c:f>
              <c:strCache>
                <c:ptCount val="1"/>
                <c:pt idx="0">
                  <c:v>Répteis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Gráficos!$D$2:$D$12</c:f>
              <c:strCache>
                <c:ptCount val="11"/>
                <c:pt idx="0">
                  <c:v>Mamíferos NI</c:v>
                </c:pt>
                <c:pt idx="1">
                  <c:v>Mus musculus</c:v>
                </c:pt>
                <c:pt idx="2">
                  <c:v>Rattus sp.</c:v>
                </c:pt>
                <c:pt idx="3">
                  <c:v>Kerodon rupestris</c:v>
                </c:pt>
                <c:pt idx="4">
                  <c:v>Trachylepis atlantica</c:v>
                </c:pt>
                <c:pt idx="5">
                  <c:v>Amphisbaena rydlei</c:v>
                </c:pt>
                <c:pt idx="6">
                  <c:v>Caranguejo</c:v>
                </c:pt>
                <c:pt idx="7">
                  <c:v>Inseto</c:v>
                </c:pt>
                <c:pt idx="8">
                  <c:v>Vegetal NI</c:v>
                </c:pt>
                <c:pt idx="9">
                  <c:v>Sementes</c:v>
                </c:pt>
                <c:pt idx="10">
                  <c:v>Frutas</c:v>
                </c:pt>
              </c:strCache>
            </c:strRef>
          </c:cat>
          <c:val>
            <c:numRef>
              <c:f>Gráficos!$F$2:$F$12</c:f>
              <c:numCache>
                <c:formatCode>General</c:formatCode>
                <c:ptCount val="11"/>
                <c:pt idx="4">
                  <c:v>19.55</c:v>
                </c:pt>
                <c:pt idx="5">
                  <c:v>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4-4B34-8B1C-FF6989B188CD}"/>
            </c:ext>
          </c:extLst>
        </c:ser>
        <c:ser>
          <c:idx val="0"/>
          <c:order val="3"/>
          <c:tx>
            <c:strRef>
              <c:f>Gráficos!$E$1</c:f>
              <c:strCache>
                <c:ptCount val="1"/>
                <c:pt idx="0">
                  <c:v>Mamíferos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Gráficos!$D$2:$D$12</c:f>
              <c:strCache>
                <c:ptCount val="11"/>
                <c:pt idx="0">
                  <c:v>Mamíferos NI</c:v>
                </c:pt>
                <c:pt idx="1">
                  <c:v>Mus musculus</c:v>
                </c:pt>
                <c:pt idx="2">
                  <c:v>Rattus sp.</c:v>
                </c:pt>
                <c:pt idx="3">
                  <c:v>Kerodon rupestris</c:v>
                </c:pt>
                <c:pt idx="4">
                  <c:v>Trachylepis atlantica</c:v>
                </c:pt>
                <c:pt idx="5">
                  <c:v>Amphisbaena rydlei</c:v>
                </c:pt>
                <c:pt idx="6">
                  <c:v>Caranguejo</c:v>
                </c:pt>
                <c:pt idx="7">
                  <c:v>Inseto</c:v>
                </c:pt>
                <c:pt idx="8">
                  <c:v>Vegetal NI</c:v>
                </c:pt>
                <c:pt idx="9">
                  <c:v>Sementes</c:v>
                </c:pt>
                <c:pt idx="10">
                  <c:v>Frutas</c:v>
                </c:pt>
              </c:strCache>
            </c:strRef>
          </c:cat>
          <c:val>
            <c:numRef>
              <c:f>Gráficos!$E$2:$E$12</c:f>
              <c:numCache>
                <c:formatCode>General</c:formatCode>
                <c:ptCount val="11"/>
                <c:pt idx="0">
                  <c:v>2.93</c:v>
                </c:pt>
                <c:pt idx="1">
                  <c:v>4.55</c:v>
                </c:pt>
                <c:pt idx="2">
                  <c:v>4.8099999999999996</c:v>
                </c:pt>
                <c:pt idx="3">
                  <c:v>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4-4B34-8B1C-FF6989B18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4458488"/>
        <c:axId val="434458816"/>
      </c:barChart>
      <c:catAx>
        <c:axId val="434458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58816"/>
        <c:crosses val="autoZero"/>
        <c:auto val="1"/>
        <c:lblAlgn val="ctr"/>
        <c:lblOffset val="100"/>
        <c:noMultiLvlLbl val="0"/>
      </c:catAx>
      <c:valAx>
        <c:axId val="434458816"/>
        <c:scaling>
          <c:orientation val="minMax"/>
          <c:max val="3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pt-BR" baseline="0">
                    <a:latin typeface="Times New Roman" panose="02020603050405020304" pitchFamily="18" charset="0"/>
                  </a:rPr>
                  <a:t>% </a:t>
                </a:r>
                <a:r>
                  <a:rPr lang="pt-BR" b="1" baseline="0">
                    <a:latin typeface="Times New Roman" panose="02020603050405020304" pitchFamily="18" charset="0"/>
                  </a:rPr>
                  <a:t>PSIRI</a:t>
                </a:r>
              </a:p>
            </c:rich>
          </c:tx>
          <c:layout>
            <c:manualLayout>
              <c:xMode val="edge"/>
              <c:yMode val="edge"/>
              <c:x val="0.48561870910227273"/>
              <c:y val="0.85812009373424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34458488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48135142923437"/>
          <c:y val="0.92532101986151705"/>
          <c:w val="0.46477644079477265"/>
          <c:h val="6.2770917460402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5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Contribuição presa-específica na dieta de </a:t>
            </a:r>
            <a:r>
              <a:rPr lang="pt-BR" sz="1500" i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Salvator merianae</a:t>
            </a:r>
          </a:p>
        </c:rich>
      </c:tx>
      <c:layout>
        <c:manualLayout>
          <c:xMode val="edge"/>
          <c:yMode val="edge"/>
          <c:x val="0.14622098724815016"/>
          <c:y val="3.6305594144321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4550442724233"/>
          <c:y val="0.43293837422606046"/>
          <c:w val="0.79619342572703877"/>
          <c:h val="0.3930343484468264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Gráficos!$D$2</c:f>
              <c:strCache>
                <c:ptCount val="1"/>
                <c:pt idx="0">
                  <c:v>Mamíferos NI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0998905447769929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D2-4ADD-9161-65B35A9E0B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Gráficos!$E$1:$H$1</c:f>
              <c:strCache>
                <c:ptCount val="4"/>
                <c:pt idx="0">
                  <c:v>Mamíferos</c:v>
                </c:pt>
                <c:pt idx="1">
                  <c:v>Répteis</c:v>
                </c:pt>
                <c:pt idx="2">
                  <c:v>Artrópoda</c:v>
                </c:pt>
                <c:pt idx="3">
                  <c:v>Vegetal</c:v>
                </c:pt>
              </c:strCache>
            </c:strRef>
          </c:cat>
          <c:val>
            <c:numRef>
              <c:f>Gráficos!$E$2:$H$2</c:f>
              <c:numCache>
                <c:formatCode>General</c:formatCode>
                <c:ptCount val="4"/>
                <c:pt idx="0">
                  <c:v>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3-4C7D-976A-2FEA46570729}"/>
            </c:ext>
          </c:extLst>
        </c:ser>
        <c:ser>
          <c:idx val="1"/>
          <c:order val="1"/>
          <c:tx>
            <c:strRef>
              <c:f>Gráficos!$D$3</c:f>
              <c:strCache>
                <c:ptCount val="1"/>
                <c:pt idx="0">
                  <c:v>Mus musculus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Gráficos!$E$1:$H$1</c:f>
              <c:strCache>
                <c:ptCount val="4"/>
                <c:pt idx="0">
                  <c:v>Mamíferos</c:v>
                </c:pt>
                <c:pt idx="1">
                  <c:v>Répteis</c:v>
                </c:pt>
                <c:pt idx="2">
                  <c:v>Artrópoda</c:v>
                </c:pt>
                <c:pt idx="3">
                  <c:v>Vegetal</c:v>
                </c:pt>
              </c:strCache>
            </c:strRef>
          </c:cat>
          <c:val>
            <c:numRef>
              <c:f>Gráficos!$E$3:$H$3</c:f>
              <c:numCache>
                <c:formatCode>General</c:formatCode>
                <c:ptCount val="4"/>
                <c:pt idx="0">
                  <c:v>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3-4C7D-976A-2FEA46570729}"/>
            </c:ext>
          </c:extLst>
        </c:ser>
        <c:ser>
          <c:idx val="2"/>
          <c:order val="2"/>
          <c:tx>
            <c:strRef>
              <c:f>Gráficos!$D$4</c:f>
              <c:strCache>
                <c:ptCount val="1"/>
                <c:pt idx="0">
                  <c:v>Rattus sp.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Gráficos!$E$1:$H$1</c:f>
              <c:strCache>
                <c:ptCount val="4"/>
                <c:pt idx="0">
                  <c:v>Mamíferos</c:v>
                </c:pt>
                <c:pt idx="1">
                  <c:v>Répteis</c:v>
                </c:pt>
                <c:pt idx="2">
                  <c:v>Artrópoda</c:v>
                </c:pt>
                <c:pt idx="3">
                  <c:v>Vegetal</c:v>
                </c:pt>
              </c:strCache>
            </c:strRef>
          </c:cat>
          <c:val>
            <c:numRef>
              <c:f>Gráficos!$E$4:$H$4</c:f>
              <c:numCache>
                <c:formatCode>General</c:formatCode>
                <c:ptCount val="4"/>
                <c:pt idx="0">
                  <c:v>4.8099999999999996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23-4C7D-976A-2FEA46570729}"/>
            </c:ext>
          </c:extLst>
        </c:ser>
        <c:ser>
          <c:idx val="3"/>
          <c:order val="3"/>
          <c:tx>
            <c:strRef>
              <c:f>Gráficos!$D$5</c:f>
              <c:strCache>
                <c:ptCount val="1"/>
                <c:pt idx="0">
                  <c:v>Kerodon rupestris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5.1532531294387098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D2-4ADD-9161-65B35A9E0B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Gráficos!$E$1:$H$1</c:f>
              <c:strCache>
                <c:ptCount val="4"/>
                <c:pt idx="0">
                  <c:v>Mamíferos</c:v>
                </c:pt>
                <c:pt idx="1">
                  <c:v>Répteis</c:v>
                </c:pt>
                <c:pt idx="2">
                  <c:v>Artrópoda</c:v>
                </c:pt>
                <c:pt idx="3">
                  <c:v>Vegetal</c:v>
                </c:pt>
              </c:strCache>
            </c:strRef>
          </c:cat>
          <c:val>
            <c:numRef>
              <c:f>Gráficos!$E$5:$H$5</c:f>
              <c:numCache>
                <c:formatCode>General</c:formatCode>
                <c:ptCount val="4"/>
                <c:pt idx="0">
                  <c:v>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23-4C7D-976A-2FEA46570729}"/>
            </c:ext>
          </c:extLst>
        </c:ser>
        <c:ser>
          <c:idx val="4"/>
          <c:order val="4"/>
          <c:tx>
            <c:strRef>
              <c:f>Gráficos!$D$6</c:f>
              <c:strCache>
                <c:ptCount val="1"/>
                <c:pt idx="0">
                  <c:v>Trachylepis atlantica</c:v>
                </c:pt>
              </c:strCache>
            </c:strRef>
          </c:tx>
          <c:spPr>
            <a:solidFill>
              <a:srgbClr val="F2A36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Gráficos!$E$1:$H$1</c:f>
              <c:strCache>
                <c:ptCount val="4"/>
                <c:pt idx="0">
                  <c:v>Mamíferos</c:v>
                </c:pt>
                <c:pt idx="1">
                  <c:v>Répteis</c:v>
                </c:pt>
                <c:pt idx="2">
                  <c:v>Artrópoda</c:v>
                </c:pt>
                <c:pt idx="3">
                  <c:v>Vegetal</c:v>
                </c:pt>
              </c:strCache>
            </c:strRef>
          </c:cat>
          <c:val>
            <c:numRef>
              <c:f>Gráficos!$E$6:$H$6</c:f>
              <c:numCache>
                <c:formatCode>General</c:formatCode>
                <c:ptCount val="4"/>
                <c:pt idx="1">
                  <c:v>19.55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23-4C7D-976A-2FEA46570729}"/>
            </c:ext>
          </c:extLst>
        </c:ser>
        <c:ser>
          <c:idx val="5"/>
          <c:order val="5"/>
          <c:tx>
            <c:strRef>
              <c:f>Gráficos!$D$7</c:f>
              <c:strCache>
                <c:ptCount val="1"/>
                <c:pt idx="0">
                  <c:v>Amphisbaena rydlei</c:v>
                </c:pt>
              </c:strCache>
            </c:strRef>
          </c:tx>
          <c:spPr>
            <a:solidFill>
              <a:srgbClr val="F7C09B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Gráficos!$E$1:$H$1</c:f>
              <c:strCache>
                <c:ptCount val="4"/>
                <c:pt idx="0">
                  <c:v>Mamíferos</c:v>
                </c:pt>
                <c:pt idx="1">
                  <c:v>Répteis</c:v>
                </c:pt>
                <c:pt idx="2">
                  <c:v>Artrópoda</c:v>
                </c:pt>
                <c:pt idx="3">
                  <c:v>Vegetal</c:v>
                </c:pt>
              </c:strCache>
            </c:strRef>
          </c:cat>
          <c:val>
            <c:numRef>
              <c:f>Gráficos!$E$7:$H$7</c:f>
              <c:numCache>
                <c:formatCode>General</c:formatCode>
                <c:ptCount val="4"/>
                <c:pt idx="1">
                  <c:v>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23-4C7D-976A-2FEA46570729}"/>
            </c:ext>
          </c:extLst>
        </c:ser>
        <c:ser>
          <c:idx val="6"/>
          <c:order val="6"/>
          <c:tx>
            <c:strRef>
              <c:f>Gráficos!$D$8</c:f>
              <c:strCache>
                <c:ptCount val="1"/>
                <c:pt idx="0">
                  <c:v>Caranguejo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-9.7750473726001316E-4"/>
                  <c:y val="-7.0040557908478437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D2-4ADD-9161-65B35A9E0B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Gráficos!$E$1:$H$1</c:f>
              <c:strCache>
                <c:ptCount val="4"/>
                <c:pt idx="0">
                  <c:v>Mamíferos</c:v>
                </c:pt>
                <c:pt idx="1">
                  <c:v>Répteis</c:v>
                </c:pt>
                <c:pt idx="2">
                  <c:v>Artrópoda</c:v>
                </c:pt>
                <c:pt idx="3">
                  <c:v>Vegetal</c:v>
                </c:pt>
              </c:strCache>
            </c:strRef>
          </c:cat>
          <c:val>
            <c:numRef>
              <c:f>Gráficos!$E$8:$H$8</c:f>
              <c:numCache>
                <c:formatCode>General</c:formatCode>
                <c:ptCount val="4"/>
                <c:pt idx="2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23-4C7D-976A-2FEA46570729}"/>
            </c:ext>
          </c:extLst>
        </c:ser>
        <c:ser>
          <c:idx val="7"/>
          <c:order val="7"/>
          <c:tx>
            <c:strRef>
              <c:f>Gráficos!$D$9</c:f>
              <c:strCache>
                <c:ptCount val="1"/>
                <c:pt idx="0">
                  <c:v>Inseto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Gráficos!$E$1:$H$1</c:f>
              <c:strCache>
                <c:ptCount val="4"/>
                <c:pt idx="0">
                  <c:v>Mamíferos</c:v>
                </c:pt>
                <c:pt idx="1">
                  <c:v>Répteis</c:v>
                </c:pt>
                <c:pt idx="2">
                  <c:v>Artrópoda</c:v>
                </c:pt>
                <c:pt idx="3">
                  <c:v>Vegetal</c:v>
                </c:pt>
              </c:strCache>
            </c:strRef>
          </c:cat>
          <c:val>
            <c:numRef>
              <c:f>Gráficos!$E$9:$H$9</c:f>
              <c:numCache>
                <c:formatCode>General</c:formatCode>
                <c:ptCount val="4"/>
                <c:pt idx="2">
                  <c:v>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23-4C7D-976A-2FEA46570729}"/>
            </c:ext>
          </c:extLst>
        </c:ser>
        <c:ser>
          <c:idx val="8"/>
          <c:order val="8"/>
          <c:tx>
            <c:strRef>
              <c:f>Gráficos!$D$10</c:f>
              <c:strCache>
                <c:ptCount val="1"/>
                <c:pt idx="0">
                  <c:v>Vegetal NI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Gráficos!$E$1:$H$1</c:f>
              <c:strCache>
                <c:ptCount val="4"/>
                <c:pt idx="0">
                  <c:v>Mamíferos</c:v>
                </c:pt>
                <c:pt idx="1">
                  <c:v>Répteis</c:v>
                </c:pt>
                <c:pt idx="2">
                  <c:v>Artrópoda</c:v>
                </c:pt>
                <c:pt idx="3">
                  <c:v>Vegetal</c:v>
                </c:pt>
              </c:strCache>
            </c:strRef>
          </c:cat>
          <c:val>
            <c:numRef>
              <c:f>Gráficos!$E$10:$H$10</c:f>
              <c:numCache>
                <c:formatCode>General</c:formatCode>
                <c:ptCount val="4"/>
                <c:pt idx="3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23-4C7D-976A-2FEA46570729}"/>
            </c:ext>
          </c:extLst>
        </c:ser>
        <c:ser>
          <c:idx val="9"/>
          <c:order val="9"/>
          <c:tx>
            <c:strRef>
              <c:f>Gráficos!$D$11</c:f>
              <c:strCache>
                <c:ptCount val="1"/>
                <c:pt idx="0">
                  <c:v>Sementes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3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D2-4ADD-9161-65B35A9E0B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Gráficos!$E$1:$H$1</c:f>
              <c:strCache>
                <c:ptCount val="4"/>
                <c:pt idx="0">
                  <c:v>Mamíferos</c:v>
                </c:pt>
                <c:pt idx="1">
                  <c:v>Répteis</c:v>
                </c:pt>
                <c:pt idx="2">
                  <c:v>Artrópoda</c:v>
                </c:pt>
                <c:pt idx="3">
                  <c:v>Vegetal</c:v>
                </c:pt>
              </c:strCache>
            </c:strRef>
          </c:cat>
          <c:val>
            <c:numRef>
              <c:f>Gráficos!$E$11:$H$11</c:f>
              <c:numCache>
                <c:formatCode>General</c:formatCode>
                <c:ptCount val="4"/>
                <c:pt idx="3">
                  <c:v>9.9600000000000009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23-4C7D-976A-2FEA46570729}"/>
            </c:ext>
          </c:extLst>
        </c:ser>
        <c:ser>
          <c:idx val="10"/>
          <c:order val="10"/>
          <c:tx>
            <c:strRef>
              <c:f>Gráficos!$D$12</c:f>
              <c:strCache>
                <c:ptCount val="1"/>
                <c:pt idx="0">
                  <c:v>Frutas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Gráficos!$E$1:$H$1</c:f>
              <c:strCache>
                <c:ptCount val="4"/>
                <c:pt idx="0">
                  <c:v>Mamíferos</c:v>
                </c:pt>
                <c:pt idx="1">
                  <c:v>Répteis</c:v>
                </c:pt>
                <c:pt idx="2">
                  <c:v>Artrópoda</c:v>
                </c:pt>
                <c:pt idx="3">
                  <c:v>Vegetal</c:v>
                </c:pt>
              </c:strCache>
            </c:strRef>
          </c:cat>
          <c:val>
            <c:numRef>
              <c:f>Gráficos!$E$12:$H$12</c:f>
              <c:numCache>
                <c:formatCode>General</c:formatCode>
                <c:ptCount val="4"/>
                <c:pt idx="3">
                  <c:v>30.72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23-4C7D-976A-2FEA46570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935608"/>
        <c:axId val="250030056"/>
      </c:barChart>
      <c:catAx>
        <c:axId val="446935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0030056"/>
        <c:crosses val="autoZero"/>
        <c:auto val="1"/>
        <c:lblAlgn val="ctr"/>
        <c:lblOffset val="100"/>
        <c:noMultiLvlLbl val="0"/>
      </c:catAx>
      <c:valAx>
        <c:axId val="25003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%PSIRI</a:t>
                </a:r>
              </a:p>
            </c:rich>
          </c:tx>
          <c:layout>
            <c:manualLayout>
              <c:xMode val="edge"/>
              <c:yMode val="edge"/>
              <c:x val="0.42135080715318352"/>
              <c:y val="0.914040140471797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4693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1452844095903027E-2"/>
          <c:y val="0.20095926089261079"/>
          <c:w val="0.829649237135057"/>
          <c:h val="0.1858228050680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>
                <a:latin typeface="Times New Roman" panose="02020603050405020304" pitchFamily="18" charset="0"/>
                <a:cs typeface="Times New Roman" panose="02020603050405020304" pitchFamily="18" charset="0"/>
              </a:rPr>
              <a:t>Contribuição</a:t>
            </a:r>
            <a:r>
              <a:rPr lang="en-US" sz="13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de roedores na Dieta de </a:t>
            </a:r>
            <a:r>
              <a:rPr lang="en-US" sz="1300" i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S. merianae</a:t>
            </a:r>
            <a:endParaRPr lang="en-US" sz="1300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404636920384952"/>
          <c:y val="0.22278543307086615"/>
          <c:w val="0.41190748031496061"/>
          <c:h val="0.68651246719160097"/>
        </c:manualLayout>
      </c:layout>
      <c:radarChart>
        <c:radarStyle val="marker"/>
        <c:varyColors val="0"/>
        <c:ser>
          <c:idx val="0"/>
          <c:order val="0"/>
          <c:tx>
            <c:strRef>
              <c:f>Gráficos!$K$9</c:f>
              <c:strCache>
                <c:ptCount val="1"/>
                <c:pt idx="0">
                  <c:v>Roedores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6.3888888888888884E-2"/>
                  <c:y val="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2A-45E1-89D6-40C8E6390D3F}"/>
                </c:ext>
              </c:extLst>
            </c:dLbl>
            <c:dLbl>
              <c:idx val="1"/>
              <c:layout>
                <c:manualLayout>
                  <c:x val="1.9444444444444445E-2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2A-45E1-89D6-40C8E6390D3F}"/>
                </c:ext>
              </c:extLst>
            </c:dLbl>
            <c:dLbl>
              <c:idx val="2"/>
              <c:layout>
                <c:manualLayout>
                  <c:x val="-0.15555555555555556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2A-45E1-89D6-40C8E6390D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Gráficos!$J$10:$J$12</c:f>
              <c:strCache>
                <c:ptCount val="3"/>
                <c:pt idx="0">
                  <c:v>Mus musculus</c:v>
                </c:pt>
                <c:pt idx="1">
                  <c:v>Rattus sp.</c:v>
                </c:pt>
                <c:pt idx="2">
                  <c:v>Kerodon rupestris</c:v>
                </c:pt>
              </c:strCache>
            </c:strRef>
          </c:cat>
          <c:val>
            <c:numRef>
              <c:f>Gráficos!$K$10:$K$12</c:f>
              <c:numCache>
                <c:formatCode>General</c:formatCode>
                <c:ptCount val="3"/>
                <c:pt idx="0">
                  <c:v>4.55</c:v>
                </c:pt>
                <c:pt idx="1">
                  <c:v>4.8099999999999996</c:v>
                </c:pt>
                <c:pt idx="2">
                  <c:v>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8-4CC9-B1A8-8200635C82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41325464"/>
        <c:axId val="541327104"/>
      </c:radarChart>
      <c:catAx>
        <c:axId val="54132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41327104"/>
        <c:crosses val="autoZero"/>
        <c:auto val="1"/>
        <c:lblAlgn val="ctr"/>
        <c:lblOffset val="100"/>
        <c:noMultiLvlLbl val="0"/>
      </c:catAx>
      <c:valAx>
        <c:axId val="54132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4132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5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FRUTAS</a:t>
            </a:r>
          </a:p>
        </c:rich>
      </c:tx>
      <c:layout>
        <c:manualLayout>
          <c:xMode val="edge"/>
          <c:yMode val="edge"/>
          <c:x val="0.40094404188760252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Gráficos!$K$1</c:f>
              <c:strCache>
                <c:ptCount val="1"/>
                <c:pt idx="0">
                  <c:v>Frutas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F4BC-46FA-949C-717BEB14A4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F4BC-46FA-949C-717BEB14A4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4BC-46FA-949C-717BEB14A4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4BC-46FA-949C-717BEB14A4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F4BC-46FA-949C-717BEB14A4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4BC-46FA-949C-717BEB14A477}"/>
              </c:ext>
            </c:extLst>
          </c:dPt>
          <c:dLbls>
            <c:dLbl>
              <c:idx val="0"/>
              <c:layout>
                <c:manualLayout>
                  <c:x val="-2.8828825556776556E-3"/>
                  <c:y val="1.403508771929824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746C2AD3-1920-4DCE-BA87-BCEAB89EB8D3}" type="CATEGORYNAME">
                      <a:rPr lang="en-US" baseline="0">
                        <a:solidFill>
                          <a:schemeClr val="accent1"/>
                        </a:solidFill>
                      </a:rPr>
                      <a:pPr>
                        <a:defRPr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accent1"/>
                        </a:solidFill>
                      </a:rPr>
                      <a:t>
</a:t>
                    </a:r>
                    <a:fld id="{56644BDF-A163-46AD-9BB6-0721BA1019B5}" type="PERCENTAGE">
                      <a:rPr lang="en-US" baseline="0">
                        <a:solidFill>
                          <a:schemeClr val="accent1"/>
                        </a:solidFill>
                      </a:rPr>
                      <a:pPr>
                        <a:defRPr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accent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4BC-46FA-949C-717BEB14A477}"/>
                </c:ext>
              </c:extLst>
            </c:dLbl>
            <c:dLbl>
              <c:idx val="1"/>
              <c:layout>
                <c:manualLayout>
                  <c:x val="-3.7477473223809524E-2"/>
                  <c:y val="-2.33918128654970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4BC-46FA-949C-717BEB14A477}"/>
                </c:ext>
              </c:extLst>
            </c:dLbl>
            <c:dLbl>
              <c:idx val="2"/>
              <c:layout>
                <c:manualLayout>
                  <c:x val="-1.1531530222710622E-2"/>
                  <c:y val="-1.871345029239766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2">
                          <a:lumMod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BC-46FA-949C-717BEB14A477}"/>
                </c:ext>
              </c:extLst>
            </c:dLbl>
            <c:dLbl>
              <c:idx val="3"/>
              <c:layout>
                <c:manualLayout>
                  <c:x val="-2.0180177889743588E-2"/>
                  <c:y val="-2.80701754385964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7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BC-46FA-949C-717BEB14A477}"/>
                </c:ext>
              </c:extLst>
            </c:dLbl>
            <c:dLbl>
              <c:idx val="4"/>
              <c:layout>
                <c:manualLayout>
                  <c:x val="-8.6486476670329937E-3"/>
                  <c:y val="-1.40350877192982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4BC-46FA-949C-717BEB14A477}"/>
                </c:ext>
              </c:extLst>
            </c:dLbl>
            <c:dLbl>
              <c:idx val="5"/>
              <c:layout>
                <c:manualLayout>
                  <c:x val="1.1531530222710609E-2"/>
                  <c:y val="4.678362573099371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BC-46FA-949C-717BEB14A4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Gráficos!$J$2:$J$7</c:f>
              <c:strCache>
                <c:ptCount val="6"/>
                <c:pt idx="0">
                  <c:v>     Fruta NI</c:v>
                </c:pt>
                <c:pt idx="1">
                  <c:v>     Abacaxi</c:v>
                </c:pt>
                <c:pt idx="2">
                  <c:v>     Banana</c:v>
                </c:pt>
                <c:pt idx="3">
                  <c:v>     Melancia</c:v>
                </c:pt>
                <c:pt idx="4">
                  <c:v>     Caju</c:v>
                </c:pt>
                <c:pt idx="5">
                  <c:v>     Seriguela</c:v>
                </c:pt>
              </c:strCache>
            </c:strRef>
          </c:cat>
          <c:val>
            <c:numRef>
              <c:f>Gráficos!$K$2:$K$7</c:f>
              <c:numCache>
                <c:formatCode>0.00</c:formatCode>
                <c:ptCount val="6"/>
                <c:pt idx="0">
                  <c:v>0.85</c:v>
                </c:pt>
                <c:pt idx="1">
                  <c:v>6.28</c:v>
                </c:pt>
                <c:pt idx="2">
                  <c:v>4.55</c:v>
                </c:pt>
                <c:pt idx="3">
                  <c:v>2.61</c:v>
                </c:pt>
                <c:pt idx="4">
                  <c:v>7.65</c:v>
                </c:pt>
                <c:pt idx="5">
                  <c:v>8.7799999999999994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C-46FA-949C-717BEB14A47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28</xdr:row>
      <xdr:rowOff>19049</xdr:rowOff>
    </xdr:from>
    <xdr:to>
      <xdr:col>4</xdr:col>
      <xdr:colOff>704849</xdr:colOff>
      <xdr:row>44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886400-881A-44FA-BB8D-412A6A1BE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438149</xdr:colOff>
      <xdr:row>27</xdr:row>
      <xdr:rowOff>104774</xdr:rowOff>
    </xdr:from>
    <xdr:to>
      <xdr:col>10</xdr:col>
      <xdr:colOff>485775</xdr:colOff>
      <xdr:row>45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DACEC2-9EFB-4260-AED4-B72A84F07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452437</xdr:colOff>
      <xdr:row>46</xdr:row>
      <xdr:rowOff>9525</xdr:rowOff>
    </xdr:from>
    <xdr:to>
      <xdr:col>3</xdr:col>
      <xdr:colOff>1223962</xdr:colOff>
      <xdr:row>60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8FAAB6-112E-4F56-B1BE-5AB01C380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319087</xdr:colOff>
      <xdr:row>45</xdr:row>
      <xdr:rowOff>123825</xdr:rowOff>
    </xdr:from>
    <xdr:to>
      <xdr:col>8</xdr:col>
      <xdr:colOff>552450</xdr:colOff>
      <xdr:row>60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1AE865E-FDB7-4ACA-A495-ABFA67059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5"/>
  <sheetViews>
    <sheetView showGridLines="0" zoomScale="90" zoomScaleNormal="90" workbookViewId="0">
      <pane ySplit="1" topLeftCell="A2" activePane="bottomLeft" state="frozen"/>
      <selection pane="bottomLeft" activeCell="H6" sqref="H6"/>
    </sheetView>
  </sheetViews>
  <sheetFormatPr defaultColWidth="9.109375" defaultRowHeight="15.6" x14ac:dyDescent="0.3"/>
  <cols>
    <col min="1" max="1" width="11.6640625" style="1" customWidth="1"/>
    <col min="2" max="2" width="11.33203125" style="1" customWidth="1"/>
    <col min="3" max="3" width="19.6640625" style="1" customWidth="1"/>
    <col min="4" max="4" width="16.33203125" style="1" customWidth="1"/>
    <col min="5" max="5" width="12.44140625" style="1" customWidth="1"/>
    <col min="6" max="6" width="12" style="1" customWidth="1"/>
    <col min="7" max="7" width="11.5546875" style="1" customWidth="1"/>
    <col min="8" max="8" width="11.109375" style="1" customWidth="1"/>
    <col min="9" max="9" width="8.6640625" style="1" customWidth="1"/>
    <col min="10" max="11" width="11.109375" style="1" customWidth="1"/>
    <col min="12" max="12" width="14.109375" style="1" customWidth="1"/>
    <col min="13" max="13" width="13.33203125" style="1" customWidth="1"/>
    <col min="14" max="14" width="10.44140625" style="1" customWidth="1"/>
    <col min="15" max="15" width="12.6640625" style="1" customWidth="1"/>
    <col min="16" max="18" width="12" style="1" customWidth="1"/>
    <col min="19" max="19" width="10.88671875" style="1" customWidth="1"/>
    <col min="20" max="20" width="11.109375" style="1" customWidth="1"/>
    <col min="21" max="21" width="8.6640625" style="1" customWidth="1"/>
    <col min="22" max="23" width="9.88671875" style="1" customWidth="1"/>
    <col min="24" max="24" width="14" style="1" customWidth="1"/>
    <col min="25" max="25" width="10.33203125" style="1" customWidth="1"/>
    <col min="26" max="26" width="12.5546875" style="1" customWidth="1"/>
    <col min="27" max="27" width="9.33203125" style="1" customWidth="1"/>
    <col min="28" max="28" width="11" style="1" customWidth="1"/>
    <col min="29" max="29" width="9.33203125" style="1" customWidth="1"/>
    <col min="30" max="30" width="13.5546875" style="1" customWidth="1"/>
    <col min="31" max="31" width="7.88671875" style="1" customWidth="1"/>
    <col min="32" max="32" width="10.5546875" style="1" customWidth="1"/>
    <col min="33" max="33" width="16.44140625" style="1" customWidth="1"/>
    <col min="34" max="34" width="12.109375" style="1" customWidth="1"/>
    <col min="35" max="35" width="14" style="1" customWidth="1"/>
    <col min="36" max="36" width="16.33203125" style="1" customWidth="1"/>
    <col min="37" max="37" width="11.88671875" style="1" customWidth="1"/>
    <col min="38" max="38" width="12.44140625" style="1" customWidth="1"/>
    <col min="39" max="39" width="12.5546875" style="1" customWidth="1"/>
    <col min="40" max="40" width="13.6640625" style="1" customWidth="1"/>
    <col min="41" max="41" width="12.109375" style="1" customWidth="1"/>
    <col min="42" max="43" width="13.109375" style="1" customWidth="1"/>
    <col min="44" max="44" width="11.6640625" style="1" customWidth="1"/>
    <col min="45" max="45" width="9.109375" style="1"/>
    <col min="46" max="16384" width="9.109375" style="2"/>
  </cols>
  <sheetData>
    <row r="1" spans="1:4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</row>
    <row r="2" spans="1:44" x14ac:dyDescent="0.3">
      <c r="A2" s="4" t="s">
        <v>44</v>
      </c>
      <c r="B2" s="4">
        <v>2014</v>
      </c>
      <c r="C2" s="5" t="s">
        <v>45</v>
      </c>
      <c r="D2" s="4" t="s">
        <v>46</v>
      </c>
      <c r="E2" s="4"/>
      <c r="F2" s="4"/>
      <c r="G2" s="4"/>
      <c r="H2" s="4"/>
      <c r="I2" s="4"/>
      <c r="J2" s="4"/>
      <c r="K2" s="4"/>
      <c r="L2" s="4"/>
      <c r="M2" s="4"/>
      <c r="N2" s="4"/>
      <c r="O2" s="6">
        <v>4.7</v>
      </c>
      <c r="P2" s="4">
        <v>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 x14ac:dyDescent="0.3">
      <c r="A3" s="4" t="s">
        <v>44</v>
      </c>
      <c r="B3" s="4">
        <v>2014</v>
      </c>
      <c r="C3" s="5" t="s">
        <v>45</v>
      </c>
      <c r="D3" s="4" t="s">
        <v>47</v>
      </c>
      <c r="E3" s="4"/>
      <c r="F3" s="4"/>
      <c r="G3" s="4"/>
      <c r="H3" s="4"/>
      <c r="I3" s="4"/>
      <c r="J3" s="4"/>
      <c r="K3" s="4"/>
      <c r="L3" s="4"/>
      <c r="M3" s="4"/>
      <c r="N3" s="4"/>
      <c r="O3" s="4">
        <v>0.52500000000000002</v>
      </c>
      <c r="P3" s="4">
        <v>1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 x14ac:dyDescent="0.3">
      <c r="A4" s="4" t="s">
        <v>48</v>
      </c>
      <c r="B4" s="4">
        <v>2015</v>
      </c>
      <c r="C4" s="5" t="s">
        <v>45</v>
      </c>
      <c r="D4" s="4" t="s">
        <v>49</v>
      </c>
      <c r="E4" s="4"/>
      <c r="F4" s="4"/>
      <c r="G4" s="4"/>
      <c r="H4" s="4"/>
      <c r="I4" s="4"/>
      <c r="J4" s="4"/>
      <c r="K4" s="4"/>
      <c r="L4" s="4"/>
      <c r="M4" s="4"/>
      <c r="N4" s="4"/>
      <c r="O4" s="4">
        <v>7.4</v>
      </c>
      <c r="P4" s="4">
        <v>1</v>
      </c>
      <c r="Q4" s="4"/>
      <c r="R4" s="4"/>
      <c r="S4" s="4"/>
      <c r="T4" s="4"/>
      <c r="U4" s="4"/>
      <c r="V4" s="4"/>
      <c r="W4" s="6">
        <v>1</v>
      </c>
      <c r="X4" s="4">
        <v>1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 x14ac:dyDescent="0.3">
      <c r="A5" s="4" t="s">
        <v>48</v>
      </c>
      <c r="B5" s="4">
        <v>2015</v>
      </c>
      <c r="C5" s="5" t="s">
        <v>45</v>
      </c>
      <c r="D5" s="4" t="s">
        <v>50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>
        <v>0.72</v>
      </c>
      <c r="R5" s="4">
        <v>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 x14ac:dyDescent="0.3">
      <c r="A6" s="4" t="s">
        <v>48</v>
      </c>
      <c r="B6" s="4">
        <v>2016</v>
      </c>
      <c r="C6" s="5" t="s">
        <v>45</v>
      </c>
      <c r="D6" s="4" t="s">
        <v>51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6">
        <v>35</v>
      </c>
      <c r="AF6" s="4">
        <v>1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 x14ac:dyDescent="0.3">
      <c r="A7" s="4" t="s">
        <v>48</v>
      </c>
      <c r="B7" s="4">
        <v>2016</v>
      </c>
      <c r="C7" s="5" t="s">
        <v>45</v>
      </c>
      <c r="D7" s="4" t="s">
        <v>52</v>
      </c>
      <c r="E7" s="4"/>
      <c r="F7" s="4"/>
      <c r="G7" s="6"/>
      <c r="H7" s="4"/>
      <c r="I7" s="6">
        <v>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6">
        <v>8</v>
      </c>
      <c r="X7" s="4">
        <v>1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 x14ac:dyDescent="0.3">
      <c r="A8" s="4" t="s">
        <v>48</v>
      </c>
      <c r="B8" s="4">
        <v>2016</v>
      </c>
      <c r="C8" s="5" t="s">
        <v>45</v>
      </c>
      <c r="D8" s="4" t="s">
        <v>53</v>
      </c>
      <c r="E8" s="4"/>
      <c r="F8" s="4"/>
      <c r="G8" s="4"/>
      <c r="H8" s="4"/>
      <c r="I8" s="4"/>
      <c r="J8" s="4"/>
      <c r="K8" s="6">
        <v>9</v>
      </c>
      <c r="L8" s="4">
        <v>1</v>
      </c>
      <c r="M8" s="4"/>
      <c r="N8" s="4"/>
      <c r="O8" s="4"/>
      <c r="P8" s="4"/>
      <c r="Q8" s="4"/>
      <c r="R8" s="4"/>
      <c r="S8" s="4"/>
      <c r="T8" s="4"/>
      <c r="U8" s="4"/>
      <c r="V8" s="4"/>
      <c r="W8" s="6">
        <v>3</v>
      </c>
      <c r="X8" s="4">
        <v>2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 x14ac:dyDescent="0.3">
      <c r="A9" s="4" t="s">
        <v>48</v>
      </c>
      <c r="B9" s="4">
        <v>2016</v>
      </c>
      <c r="C9" s="5" t="s">
        <v>45</v>
      </c>
      <c r="D9" s="4" t="s">
        <v>54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>
        <v>1.6</v>
      </c>
      <c r="T9" s="4">
        <v>1</v>
      </c>
      <c r="U9" s="4"/>
      <c r="V9" s="4"/>
      <c r="W9" s="6">
        <v>4</v>
      </c>
      <c r="X9" s="4">
        <v>1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 x14ac:dyDescent="0.3">
      <c r="A10" s="4" t="s">
        <v>44</v>
      </c>
      <c r="B10" s="114">
        <v>2016</v>
      </c>
      <c r="C10" s="5" t="s">
        <v>45</v>
      </c>
      <c r="D10" s="4" t="s">
        <v>55</v>
      </c>
      <c r="E10" s="4">
        <v>0.32700000000000001</v>
      </c>
      <c r="F10" s="4">
        <v>1</v>
      </c>
      <c r="G10" s="4"/>
      <c r="H10" s="4"/>
      <c r="I10" s="4"/>
      <c r="J10" s="4"/>
      <c r="K10" s="4"/>
      <c r="L10" s="4"/>
      <c r="M10" s="4"/>
      <c r="N10" s="4"/>
      <c r="O10" s="4">
        <v>2.5000000000000001E-2</v>
      </c>
      <c r="P10" s="4">
        <v>1</v>
      </c>
      <c r="Q10" s="4"/>
      <c r="R10" s="4"/>
      <c r="S10" s="4"/>
      <c r="T10" s="4"/>
      <c r="U10" s="4"/>
      <c r="V10" s="4"/>
      <c r="W10" s="4"/>
      <c r="X10" s="4"/>
      <c r="Y10" s="4">
        <v>2.512</v>
      </c>
      <c r="Z10" s="4">
        <v>1</v>
      </c>
      <c r="AA10" s="4"/>
      <c r="AB10" s="4"/>
      <c r="AC10" s="4"/>
      <c r="AD10" s="4"/>
      <c r="AE10" s="4"/>
      <c r="AF10" s="4"/>
      <c r="AG10" s="4">
        <v>4.2999999999999997E-2</v>
      </c>
      <c r="AH10" s="4">
        <v>4</v>
      </c>
      <c r="AI10" s="6">
        <v>0.65</v>
      </c>
      <c r="AJ10" s="7">
        <v>13</v>
      </c>
      <c r="AK10" s="4"/>
      <c r="AL10" s="4"/>
      <c r="AM10" s="4">
        <v>7.4999999999999997E-2</v>
      </c>
      <c r="AN10" s="4">
        <v>2</v>
      </c>
      <c r="AO10" s="4"/>
      <c r="AP10" s="4"/>
      <c r="AQ10" s="6">
        <v>0.1</v>
      </c>
      <c r="AR10" s="4">
        <v>1</v>
      </c>
    </row>
    <row r="11" spans="1:44" x14ac:dyDescent="0.3">
      <c r="A11" s="4" t="s">
        <v>44</v>
      </c>
      <c r="B11" s="114">
        <v>2016</v>
      </c>
      <c r="C11" s="5" t="s">
        <v>45</v>
      </c>
      <c r="D11" s="4" t="s">
        <v>56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6">
        <v>1.5</v>
      </c>
      <c r="AJ11" s="7">
        <v>37</v>
      </c>
      <c r="AK11" s="4"/>
      <c r="AL11" s="4"/>
      <c r="AM11" s="4"/>
      <c r="AN11" s="4"/>
      <c r="AO11" s="4"/>
      <c r="AP11" s="4"/>
      <c r="AQ11" s="6">
        <v>0.2</v>
      </c>
      <c r="AR11" s="4">
        <v>1</v>
      </c>
    </row>
    <row r="12" spans="1:44" x14ac:dyDescent="0.3">
      <c r="A12" s="4" t="s">
        <v>44</v>
      </c>
      <c r="B12" s="114">
        <v>2016</v>
      </c>
      <c r="C12" s="5" t="s">
        <v>45</v>
      </c>
      <c r="D12" s="4" t="s">
        <v>57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6">
        <v>22</v>
      </c>
      <c r="Z12" s="7">
        <v>1</v>
      </c>
      <c r="AA12" s="6"/>
      <c r="AB12" s="6"/>
      <c r="AC12" s="6"/>
      <c r="AD12" s="6"/>
      <c r="AE12" s="4"/>
      <c r="AF12" s="4"/>
      <c r="AG12" s="4"/>
      <c r="AH12" s="4"/>
      <c r="AI12" s="4"/>
      <c r="AJ12" s="7"/>
      <c r="AK12" s="4"/>
      <c r="AL12" s="4"/>
      <c r="AM12" s="4"/>
      <c r="AN12" s="4"/>
      <c r="AO12" s="4"/>
      <c r="AP12" s="4"/>
      <c r="AQ12" s="4"/>
      <c r="AR12" s="4"/>
    </row>
    <row r="13" spans="1:44" x14ac:dyDescent="0.3">
      <c r="A13" s="4" t="s">
        <v>58</v>
      </c>
      <c r="B13" s="114">
        <v>2016</v>
      </c>
      <c r="C13" s="5" t="s">
        <v>45</v>
      </c>
      <c r="D13" s="4" t="s">
        <v>59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7"/>
      <c r="AK13" s="4">
        <v>0.125</v>
      </c>
      <c r="AL13" s="4">
        <v>1</v>
      </c>
      <c r="AM13" s="4"/>
      <c r="AN13" s="4"/>
      <c r="AO13" s="4"/>
      <c r="AP13" s="4"/>
      <c r="AQ13" s="4">
        <v>9.5000000000000001E-2</v>
      </c>
      <c r="AR13" s="4">
        <v>1</v>
      </c>
    </row>
    <row r="14" spans="1:44" x14ac:dyDescent="0.3">
      <c r="A14" s="4" t="s">
        <v>58</v>
      </c>
      <c r="B14" s="114">
        <v>2016</v>
      </c>
      <c r="C14" s="5" t="s">
        <v>45</v>
      </c>
      <c r="D14" s="4" t="s">
        <v>60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6">
        <v>5</v>
      </c>
      <c r="P14" s="7">
        <v>1</v>
      </c>
      <c r="Q14" s="7"/>
      <c r="R14" s="7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7"/>
      <c r="AK14" s="4"/>
      <c r="AL14" s="4"/>
      <c r="AM14" s="4"/>
      <c r="AN14" s="4"/>
      <c r="AO14" s="4"/>
      <c r="AP14" s="4"/>
      <c r="AQ14" s="4"/>
      <c r="AR14" s="4"/>
    </row>
    <row r="15" spans="1:44" x14ac:dyDescent="0.3">
      <c r="A15" s="4" t="s">
        <v>58</v>
      </c>
      <c r="B15" s="114">
        <v>2016</v>
      </c>
      <c r="C15" s="5" t="s">
        <v>45</v>
      </c>
      <c r="D15" s="4" t="s">
        <v>61</v>
      </c>
      <c r="E15" s="4"/>
      <c r="F15" s="4"/>
      <c r="G15" s="4"/>
      <c r="H15" s="4"/>
      <c r="I15" s="4"/>
      <c r="J15" s="4"/>
      <c r="K15" s="4"/>
      <c r="L15" s="4"/>
      <c r="M15" s="6">
        <v>32</v>
      </c>
      <c r="N15" s="7">
        <v>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7"/>
      <c r="AK15" s="4"/>
      <c r="AL15" s="4"/>
      <c r="AM15" s="4"/>
      <c r="AN15" s="4"/>
      <c r="AO15" s="4"/>
      <c r="AP15" s="4"/>
      <c r="AQ15" s="4"/>
      <c r="AR15" s="4"/>
    </row>
    <row r="16" spans="1:44" x14ac:dyDescent="0.3">
      <c r="A16" s="4" t="s">
        <v>58</v>
      </c>
      <c r="B16" s="114">
        <v>2016</v>
      </c>
      <c r="C16" s="5" t="s">
        <v>45</v>
      </c>
      <c r="D16" s="4" t="s">
        <v>62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7"/>
      <c r="AK16" s="4"/>
      <c r="AL16" s="4"/>
      <c r="AM16" s="4"/>
      <c r="AN16" s="4"/>
      <c r="AO16" s="4"/>
      <c r="AP16" s="4"/>
      <c r="AQ16" s="6">
        <v>0.4</v>
      </c>
      <c r="AR16" s="4">
        <v>1</v>
      </c>
    </row>
    <row r="17" spans="1:45" x14ac:dyDescent="0.3">
      <c r="A17" s="4" t="s">
        <v>58</v>
      </c>
      <c r="B17" s="114">
        <v>2016</v>
      </c>
      <c r="C17" s="5" t="s">
        <v>45</v>
      </c>
      <c r="D17" s="4" t="s">
        <v>63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>
        <v>1.0249999999999999</v>
      </c>
      <c r="P17" s="4">
        <v>1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1.89</v>
      </c>
      <c r="AD17" s="4">
        <v>1</v>
      </c>
      <c r="AE17" s="4"/>
      <c r="AF17" s="4"/>
      <c r="AG17" s="4"/>
      <c r="AH17" s="4"/>
      <c r="AI17" s="4"/>
      <c r="AJ17" s="7"/>
      <c r="AK17" s="4"/>
      <c r="AL17" s="4"/>
      <c r="AM17" s="4"/>
      <c r="AN17" s="4"/>
      <c r="AO17" s="4"/>
      <c r="AP17" s="4"/>
      <c r="AQ17" s="4"/>
      <c r="AR17" s="4"/>
    </row>
    <row r="18" spans="1:45" x14ac:dyDescent="0.3">
      <c r="A18" s="4" t="s">
        <v>58</v>
      </c>
      <c r="B18" s="114">
        <v>2016</v>
      </c>
      <c r="C18" s="5" t="s">
        <v>45</v>
      </c>
      <c r="D18" s="4" t="s">
        <v>64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6">
        <v>19</v>
      </c>
      <c r="AB18" s="7">
        <v>1</v>
      </c>
      <c r="AC18" s="4"/>
      <c r="AD18" s="4"/>
      <c r="AE18" s="4"/>
      <c r="AF18" s="4"/>
      <c r="AG18" s="4"/>
      <c r="AH18" s="4"/>
      <c r="AI18" s="4"/>
      <c r="AJ18" s="7"/>
      <c r="AK18" s="4"/>
      <c r="AL18" s="4"/>
      <c r="AM18" s="4"/>
      <c r="AN18" s="4"/>
      <c r="AO18" s="4"/>
      <c r="AP18" s="4"/>
      <c r="AQ18" s="4"/>
      <c r="AR18" s="4"/>
    </row>
    <row r="19" spans="1:45" x14ac:dyDescent="0.3">
      <c r="A19" s="4" t="s">
        <v>58</v>
      </c>
      <c r="B19" s="114">
        <v>2016</v>
      </c>
      <c r="C19" s="5" t="s">
        <v>45</v>
      </c>
      <c r="D19" s="4" t="s">
        <v>65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6">
        <v>0.8</v>
      </c>
      <c r="AJ19" s="7">
        <v>16</v>
      </c>
      <c r="AK19" s="4"/>
      <c r="AL19" s="4"/>
      <c r="AM19" s="4"/>
      <c r="AN19" s="4"/>
      <c r="AO19" s="4"/>
      <c r="AP19" s="4"/>
      <c r="AQ19" s="4"/>
      <c r="AR19" s="4"/>
    </row>
    <row r="20" spans="1:45" x14ac:dyDescent="0.3">
      <c r="A20" s="4" t="s">
        <v>58</v>
      </c>
      <c r="B20" s="114">
        <v>2016</v>
      </c>
      <c r="C20" s="5" t="s">
        <v>45</v>
      </c>
      <c r="D20" s="4" t="s">
        <v>66</v>
      </c>
      <c r="E20" s="4"/>
      <c r="F20" s="4"/>
      <c r="G20" s="4"/>
      <c r="H20" s="4"/>
      <c r="I20" s="6">
        <v>1.8</v>
      </c>
      <c r="J20" s="7">
        <v>1</v>
      </c>
      <c r="K20" s="7"/>
      <c r="L20" s="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>
        <v>0.05</v>
      </c>
      <c r="AJ20" s="7">
        <v>1</v>
      </c>
      <c r="AK20" s="6">
        <v>0.15</v>
      </c>
      <c r="AL20" s="7">
        <v>1</v>
      </c>
      <c r="AM20" s="4"/>
      <c r="AN20" s="4"/>
      <c r="AO20" s="4"/>
      <c r="AP20" s="4"/>
      <c r="AQ20" s="4"/>
      <c r="AR20" s="4"/>
    </row>
    <row r="21" spans="1:45" x14ac:dyDescent="0.3">
      <c r="A21" s="4" t="s">
        <v>58</v>
      </c>
      <c r="B21" s="114">
        <v>2016</v>
      </c>
      <c r="C21" s="5" t="s">
        <v>45</v>
      </c>
      <c r="D21" s="4" t="s">
        <v>67</v>
      </c>
      <c r="E21" s="4"/>
      <c r="F21" s="4"/>
      <c r="G21" s="6">
        <v>2.5</v>
      </c>
      <c r="H21" s="7">
        <v>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6">
        <v>0.12</v>
      </c>
      <c r="AJ21" s="7">
        <v>2</v>
      </c>
      <c r="AK21" s="4"/>
      <c r="AL21" s="4"/>
      <c r="AM21" s="4"/>
      <c r="AN21" s="4"/>
      <c r="AO21" s="4">
        <v>0.115</v>
      </c>
      <c r="AP21" s="4">
        <v>1</v>
      </c>
      <c r="AQ21" s="4"/>
      <c r="AR21" s="4"/>
    </row>
    <row r="22" spans="1:45" x14ac:dyDescent="0.3">
      <c r="A22" s="61" t="s">
        <v>58</v>
      </c>
      <c r="B22" s="62">
        <v>2016</v>
      </c>
      <c r="C22" s="63" t="s">
        <v>45</v>
      </c>
      <c r="D22" s="61" t="s">
        <v>68</v>
      </c>
      <c r="E22" s="61">
        <v>2.0179999999999998</v>
      </c>
      <c r="F22" s="61">
        <v>1</v>
      </c>
      <c r="G22" s="61"/>
      <c r="H22" s="61"/>
      <c r="I22" s="61"/>
      <c r="J22" s="61"/>
      <c r="K22" s="61"/>
      <c r="L22" s="61"/>
      <c r="M22" s="61"/>
      <c r="N22" s="61"/>
      <c r="O22" s="61">
        <v>4.8000000000000001E-2</v>
      </c>
      <c r="P22" s="61">
        <v>1</v>
      </c>
      <c r="Q22" s="61"/>
      <c r="R22" s="61"/>
      <c r="S22" s="61"/>
      <c r="T22" s="61"/>
      <c r="U22" s="61">
        <v>7.4999999999999997E-2</v>
      </c>
      <c r="V22" s="61">
        <v>1</v>
      </c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4">
        <v>0.2</v>
      </c>
      <c r="AP22" s="64">
        <v>1</v>
      </c>
      <c r="AQ22" s="61"/>
      <c r="AR22" s="61"/>
    </row>
    <row r="23" spans="1:45" x14ac:dyDescent="0.3">
      <c r="A23" s="4" t="s">
        <v>58</v>
      </c>
      <c r="B23" s="114">
        <v>2016</v>
      </c>
      <c r="C23" s="5" t="s">
        <v>45</v>
      </c>
      <c r="D23" s="4" t="s">
        <v>69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>
        <v>5</v>
      </c>
      <c r="T23" s="7">
        <v>1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6">
        <v>32</v>
      </c>
      <c r="AF23" s="7">
        <v>1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5" s="68" customFormat="1" x14ac:dyDescent="0.3">
      <c r="A24" s="65"/>
      <c r="B24" s="65"/>
      <c r="C24" s="66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7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</row>
    <row r="25" spans="1:45" s="68" customFormat="1" x14ac:dyDescent="0.3">
      <c r="A25" s="65"/>
      <c r="B25" s="65"/>
      <c r="C25" s="66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</row>
    <row r="26" spans="1:45" s="68" customFormat="1" x14ac:dyDescent="0.3">
      <c r="A26" s="65"/>
      <c r="B26" s="65"/>
      <c r="C26" s="66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7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</row>
    <row r="27" spans="1:45" s="68" customFormat="1" x14ac:dyDescent="0.3">
      <c r="A27" s="65"/>
      <c r="B27" s="65"/>
      <c r="C27" s="66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7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</row>
    <row r="28" spans="1:45" s="68" customFormat="1" x14ac:dyDescent="0.3">
      <c r="A28" s="65"/>
      <c r="B28" s="65"/>
      <c r="C28" s="66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7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</row>
    <row r="29" spans="1:45" s="68" customFormat="1" x14ac:dyDescent="0.3">
      <c r="A29" s="65"/>
      <c r="B29" s="65"/>
      <c r="C29" s="66"/>
      <c r="D29" s="65"/>
      <c r="E29" s="65"/>
      <c r="F29" s="65"/>
      <c r="G29" s="67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7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</row>
    <row r="30" spans="1:45" s="68" customFormat="1" x14ac:dyDescent="0.3">
      <c r="A30" s="65"/>
      <c r="B30" s="65"/>
      <c r="C30" s="66"/>
      <c r="D30" s="65"/>
      <c r="E30" s="65"/>
      <c r="F30" s="65"/>
      <c r="G30" s="65"/>
      <c r="H30" s="65"/>
      <c r="I30" s="65"/>
      <c r="J30" s="65"/>
      <c r="K30" s="67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7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</row>
    <row r="31" spans="1:45" s="68" customFormat="1" x14ac:dyDescent="0.3">
      <c r="A31" s="65"/>
      <c r="B31" s="65"/>
      <c r="C31" s="66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7"/>
      <c r="T31" s="65"/>
      <c r="U31" s="65"/>
      <c r="V31" s="65"/>
      <c r="W31" s="67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</row>
    <row r="32" spans="1:45" s="68" customFormat="1" x14ac:dyDescent="0.3">
      <c r="A32" s="65"/>
      <c r="B32" s="65"/>
      <c r="C32" s="66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  <row r="38" spans="3:3" x14ac:dyDescent="0.3">
      <c r="C38" s="3"/>
    </row>
    <row r="39" spans="3:3" x14ac:dyDescent="0.3">
      <c r="C39" s="3"/>
    </row>
    <row r="40" spans="3:3" x14ac:dyDescent="0.3">
      <c r="C40" s="3"/>
    </row>
    <row r="41" spans="3:3" x14ac:dyDescent="0.3">
      <c r="C41" s="3"/>
    </row>
    <row r="42" spans="3:3" x14ac:dyDescent="0.3">
      <c r="C42" s="3"/>
    </row>
    <row r="43" spans="3:3" x14ac:dyDescent="0.3">
      <c r="C43" s="3"/>
    </row>
    <row r="44" spans="3:3" x14ac:dyDescent="0.3">
      <c r="C44" s="3"/>
    </row>
    <row r="45" spans="3:3" x14ac:dyDescent="0.3">
      <c r="C45" s="3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7"/>
  <sheetViews>
    <sheetView showGridLines="0" zoomScale="80" zoomScaleNormal="80" workbookViewId="0">
      <pane ySplit="1" topLeftCell="A2" activePane="bottomLeft" state="frozen"/>
      <selection activeCell="U1" sqref="U1"/>
      <selection pane="bottomLeft" sqref="A1:U23"/>
    </sheetView>
  </sheetViews>
  <sheetFormatPr defaultColWidth="9.109375" defaultRowHeight="15.6" x14ac:dyDescent="0.3"/>
  <cols>
    <col min="1" max="1" width="16.33203125" style="1" customWidth="1"/>
    <col min="2" max="2" width="12.44140625" style="1" customWidth="1"/>
    <col min="3" max="3" width="11.5546875" style="1" customWidth="1"/>
    <col min="4" max="5" width="8.6640625" style="1" customWidth="1"/>
    <col min="6" max="6" width="13.33203125" style="1" customWidth="1"/>
    <col min="7" max="8" width="12.6640625" style="1" customWidth="1"/>
    <col min="9" max="9" width="10.88671875" style="1" customWidth="1"/>
    <col min="10" max="11" width="8.6640625" style="1" customWidth="1"/>
    <col min="12" max="12" width="10.33203125" style="1" customWidth="1"/>
    <col min="13" max="14" width="9.33203125" style="1" customWidth="1"/>
    <col min="15" max="15" width="7.88671875" style="1" customWidth="1"/>
    <col min="16" max="16" width="16.44140625" style="1" customWidth="1"/>
    <col min="17" max="17" width="14" style="1" customWidth="1"/>
    <col min="18" max="18" width="11.88671875" style="1" customWidth="1"/>
    <col min="19" max="19" width="12.5546875" style="1" customWidth="1"/>
    <col min="20" max="20" width="12.109375" style="1" customWidth="1"/>
    <col min="21" max="21" width="13.109375" style="1" customWidth="1"/>
    <col min="22" max="22" width="16" style="1" customWidth="1"/>
    <col min="23" max="23" width="11.44140625" style="2" customWidth="1"/>
    <col min="24" max="24" width="10.5546875" style="2" customWidth="1"/>
    <col min="25" max="26" width="9.109375" style="2"/>
    <col min="27" max="27" width="12" style="2" customWidth="1"/>
    <col min="28" max="29" width="12.88671875" style="2" customWidth="1"/>
    <col min="30" max="30" width="11" style="2" customWidth="1"/>
    <col min="31" max="32" width="11.5546875" style="2" customWidth="1"/>
    <col min="33" max="36" width="9.109375" style="2"/>
    <col min="37" max="37" width="13.5546875" style="2" customWidth="1"/>
    <col min="38" max="38" width="11" style="2" customWidth="1"/>
    <col min="39" max="39" width="9.109375" style="2"/>
    <col min="40" max="40" width="12.6640625" style="2" customWidth="1"/>
    <col min="41" max="45" width="9.109375" style="2"/>
    <col min="46" max="46" width="19.33203125" style="2" customWidth="1"/>
    <col min="47" max="47" width="17.44140625" style="2" customWidth="1"/>
    <col min="48" max="16384" width="9.109375" style="2"/>
  </cols>
  <sheetData>
    <row r="1" spans="1:48" x14ac:dyDescent="0.3">
      <c r="A1" s="9" t="s">
        <v>3</v>
      </c>
      <c r="B1" s="9" t="s">
        <v>4</v>
      </c>
      <c r="C1" s="9" t="s">
        <v>6</v>
      </c>
      <c r="D1" s="9" t="s">
        <v>8</v>
      </c>
      <c r="E1" s="9" t="s">
        <v>10</v>
      </c>
      <c r="F1" s="9" t="s">
        <v>12</v>
      </c>
      <c r="G1" s="9" t="s">
        <v>14</v>
      </c>
      <c r="H1" s="9" t="s">
        <v>16</v>
      </c>
      <c r="I1" s="9" t="s">
        <v>18</v>
      </c>
      <c r="J1" s="9" t="s">
        <v>20</v>
      </c>
      <c r="K1" s="9" t="s">
        <v>22</v>
      </c>
      <c r="L1" s="9" t="s">
        <v>24</v>
      </c>
      <c r="M1" s="9" t="s">
        <v>26</v>
      </c>
      <c r="N1" s="9" t="s">
        <v>28</v>
      </c>
      <c r="O1" s="9" t="s">
        <v>30</v>
      </c>
      <c r="P1" s="9" t="s">
        <v>32</v>
      </c>
      <c r="Q1" s="9" t="s">
        <v>34</v>
      </c>
      <c r="R1" s="9" t="s">
        <v>36</v>
      </c>
      <c r="S1" s="9" t="s">
        <v>38</v>
      </c>
      <c r="T1" s="9" t="s">
        <v>40</v>
      </c>
      <c r="U1" s="9" t="s">
        <v>42</v>
      </c>
      <c r="V1" s="10" t="s">
        <v>70</v>
      </c>
      <c r="W1" s="9" t="s">
        <v>4</v>
      </c>
      <c r="X1" s="9" t="s">
        <v>6</v>
      </c>
      <c r="Y1" s="9" t="s">
        <v>8</v>
      </c>
      <c r="Z1" s="9" t="s">
        <v>10</v>
      </c>
      <c r="AA1" s="9" t="s">
        <v>12</v>
      </c>
      <c r="AB1" s="9" t="s">
        <v>14</v>
      </c>
      <c r="AC1" s="9" t="s">
        <v>16</v>
      </c>
      <c r="AD1" s="9" t="s">
        <v>18</v>
      </c>
      <c r="AE1" s="9" t="s">
        <v>71</v>
      </c>
      <c r="AF1" s="9" t="s">
        <v>22</v>
      </c>
      <c r="AG1" s="9" t="s">
        <v>24</v>
      </c>
      <c r="AH1" s="9" t="s">
        <v>26</v>
      </c>
      <c r="AI1" s="9" t="s">
        <v>28</v>
      </c>
      <c r="AJ1" s="9" t="s">
        <v>30</v>
      </c>
      <c r="AK1" s="9" t="s">
        <v>72</v>
      </c>
      <c r="AL1" s="9" t="s">
        <v>73</v>
      </c>
      <c r="AM1" s="9" t="s">
        <v>36</v>
      </c>
      <c r="AN1" s="9" t="s">
        <v>38</v>
      </c>
      <c r="AO1" s="9" t="s">
        <v>40</v>
      </c>
      <c r="AP1" s="9" t="s">
        <v>42</v>
      </c>
      <c r="AQ1" s="15" t="s">
        <v>70</v>
      </c>
      <c r="AT1" s="122" t="s">
        <v>74</v>
      </c>
      <c r="AU1" s="122"/>
    </row>
    <row r="2" spans="1:48" x14ac:dyDescent="0.3">
      <c r="A2" s="4" t="s">
        <v>46</v>
      </c>
      <c r="B2" s="16"/>
      <c r="C2" s="16"/>
      <c r="D2" s="43"/>
      <c r="E2" s="43"/>
      <c r="F2" s="16"/>
      <c r="G2" s="69">
        <v>4.7</v>
      </c>
      <c r="H2" s="43"/>
      <c r="I2" s="43"/>
      <c r="J2" s="16"/>
      <c r="K2" s="43"/>
      <c r="L2" s="16"/>
      <c r="M2" s="16"/>
      <c r="N2" s="16"/>
      <c r="O2" s="43"/>
      <c r="P2" s="16"/>
      <c r="Q2" s="16"/>
      <c r="R2" s="16"/>
      <c r="S2" s="16"/>
      <c r="T2" s="16"/>
      <c r="U2" s="16"/>
      <c r="V2" s="113">
        <f t="shared" ref="V2:V9" si="0">SUM(B2:U2)</f>
        <v>4.7</v>
      </c>
      <c r="W2" s="14"/>
      <c r="X2" s="14"/>
      <c r="Y2" s="14"/>
      <c r="Z2" s="14"/>
      <c r="AA2" s="14"/>
      <c r="AB2" s="14">
        <f>G2*100/$V$2</f>
        <v>100</v>
      </c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13">
        <f t="shared" ref="AQ2:AQ9" si="1">SUM(W2:AP2)</f>
        <v>100</v>
      </c>
      <c r="AT2" s="36" t="s">
        <v>75</v>
      </c>
      <c r="AU2" s="36" t="s">
        <v>76</v>
      </c>
    </row>
    <row r="3" spans="1:48" x14ac:dyDescent="0.3">
      <c r="A3" s="4" t="s">
        <v>47</v>
      </c>
      <c r="B3" s="16"/>
      <c r="C3" s="16"/>
      <c r="D3" s="43"/>
      <c r="E3" s="43"/>
      <c r="F3" s="16"/>
      <c r="G3" s="43">
        <v>0.52500000000000002</v>
      </c>
      <c r="H3" s="43"/>
      <c r="I3" s="43"/>
      <c r="J3" s="16"/>
      <c r="K3" s="43"/>
      <c r="L3" s="16"/>
      <c r="M3" s="16"/>
      <c r="N3" s="16"/>
      <c r="O3" s="43"/>
      <c r="P3" s="16"/>
      <c r="Q3" s="16"/>
      <c r="R3" s="16"/>
      <c r="S3" s="16"/>
      <c r="T3" s="16"/>
      <c r="U3" s="16"/>
      <c r="V3" s="113">
        <f t="shared" si="0"/>
        <v>0.52500000000000002</v>
      </c>
      <c r="W3" s="14"/>
      <c r="X3" s="14"/>
      <c r="Y3" s="14"/>
      <c r="Z3" s="14"/>
      <c r="AA3" s="14"/>
      <c r="AB3" s="14">
        <f>G3*100/$V$3</f>
        <v>100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13">
        <f t="shared" si="1"/>
        <v>100</v>
      </c>
      <c r="AT3" s="45" t="s">
        <v>4</v>
      </c>
      <c r="AU3" s="70">
        <v>47.482267725749978</v>
      </c>
      <c r="AV3" s="91"/>
    </row>
    <row r="4" spans="1:48" x14ac:dyDescent="0.3">
      <c r="A4" s="4" t="s">
        <v>49</v>
      </c>
      <c r="B4" s="16"/>
      <c r="C4" s="16"/>
      <c r="D4" s="43"/>
      <c r="E4" s="43"/>
      <c r="F4" s="16"/>
      <c r="G4" s="43">
        <v>7.4</v>
      </c>
      <c r="H4" s="43"/>
      <c r="I4" s="43"/>
      <c r="J4" s="16"/>
      <c r="K4" s="69">
        <v>1</v>
      </c>
      <c r="L4" s="16"/>
      <c r="M4" s="16"/>
      <c r="N4" s="16"/>
      <c r="O4" s="43"/>
      <c r="P4" s="16"/>
      <c r="Q4" s="16"/>
      <c r="R4" s="16"/>
      <c r="S4" s="16"/>
      <c r="T4" s="16"/>
      <c r="U4" s="16"/>
      <c r="V4" s="113">
        <f t="shared" si="0"/>
        <v>8.4</v>
      </c>
      <c r="W4" s="14"/>
      <c r="X4" s="14"/>
      <c r="Y4" s="14"/>
      <c r="Z4" s="14"/>
      <c r="AA4" s="14"/>
      <c r="AB4" s="14">
        <f>G4*100/$V$4</f>
        <v>88.095238095238088</v>
      </c>
      <c r="AC4" s="14"/>
      <c r="AD4" s="14"/>
      <c r="AE4" s="14"/>
      <c r="AF4" s="14">
        <f>K4*100/$V$4</f>
        <v>11.904761904761905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13">
        <f t="shared" si="1"/>
        <v>100</v>
      </c>
      <c r="AT4" s="45" t="s">
        <v>6</v>
      </c>
      <c r="AU4" s="70">
        <v>91.407678244972573</v>
      </c>
      <c r="AV4" s="91"/>
    </row>
    <row r="5" spans="1:48" x14ac:dyDescent="0.3">
      <c r="A5" s="4" t="s">
        <v>50</v>
      </c>
      <c r="B5" s="16"/>
      <c r="C5" s="16"/>
      <c r="D5" s="43"/>
      <c r="E5" s="43"/>
      <c r="F5" s="16"/>
      <c r="G5" s="43"/>
      <c r="H5" s="69">
        <v>0.72</v>
      </c>
      <c r="I5" s="43"/>
      <c r="J5" s="16"/>
      <c r="K5" s="43"/>
      <c r="L5" s="16"/>
      <c r="M5" s="16"/>
      <c r="N5" s="16"/>
      <c r="O5" s="43"/>
      <c r="P5" s="16"/>
      <c r="Q5" s="16"/>
      <c r="R5" s="16"/>
      <c r="S5" s="16"/>
      <c r="T5" s="16"/>
      <c r="U5" s="16"/>
      <c r="V5" s="113">
        <f t="shared" si="0"/>
        <v>0.72</v>
      </c>
      <c r="W5" s="14"/>
      <c r="X5" s="14"/>
      <c r="Y5" s="14"/>
      <c r="Z5" s="14"/>
      <c r="AA5" s="14"/>
      <c r="AB5" s="14"/>
      <c r="AC5" s="14">
        <f>H5*100/$V$5</f>
        <v>100</v>
      </c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13">
        <f t="shared" si="1"/>
        <v>100</v>
      </c>
      <c r="AT5" s="45" t="s">
        <v>8</v>
      </c>
      <c r="AU5" s="70">
        <v>64.230769230769226</v>
      </c>
      <c r="AV5" s="91"/>
    </row>
    <row r="6" spans="1:48" x14ac:dyDescent="0.3">
      <c r="A6" s="4" t="s">
        <v>51</v>
      </c>
      <c r="B6" s="16"/>
      <c r="C6" s="16"/>
      <c r="D6" s="43"/>
      <c r="E6" s="43"/>
      <c r="F6" s="16"/>
      <c r="G6" s="43"/>
      <c r="H6" s="43"/>
      <c r="I6" s="43"/>
      <c r="J6" s="16"/>
      <c r="K6" s="43"/>
      <c r="L6" s="16"/>
      <c r="M6" s="16"/>
      <c r="N6" s="16"/>
      <c r="O6" s="69">
        <v>35</v>
      </c>
      <c r="P6" s="16"/>
      <c r="Q6" s="16"/>
      <c r="R6" s="16"/>
      <c r="S6" s="16"/>
      <c r="T6" s="16"/>
      <c r="U6" s="16"/>
      <c r="V6" s="113">
        <f t="shared" si="0"/>
        <v>35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>
        <f>O6*100/$V$6</f>
        <v>100</v>
      </c>
      <c r="AK6" s="14"/>
      <c r="AL6" s="14"/>
      <c r="AM6" s="14"/>
      <c r="AN6" s="14"/>
      <c r="AO6" s="14"/>
      <c r="AP6" s="14"/>
      <c r="AQ6" s="113">
        <f t="shared" si="1"/>
        <v>100</v>
      </c>
      <c r="AT6" s="45" t="s">
        <v>10</v>
      </c>
      <c r="AU6" s="70">
        <v>75</v>
      </c>
      <c r="AV6" s="91"/>
    </row>
    <row r="7" spans="1:48" x14ac:dyDescent="0.3">
      <c r="A7" s="4" t="s">
        <v>52</v>
      </c>
      <c r="B7" s="16"/>
      <c r="C7" s="16"/>
      <c r="D7" s="69">
        <v>5</v>
      </c>
      <c r="E7" s="43"/>
      <c r="F7" s="16"/>
      <c r="G7" s="43"/>
      <c r="H7" s="43"/>
      <c r="I7" s="43"/>
      <c r="J7" s="16"/>
      <c r="K7" s="69">
        <v>8</v>
      </c>
      <c r="L7" s="16"/>
      <c r="M7" s="16"/>
      <c r="N7" s="16"/>
      <c r="O7" s="43"/>
      <c r="P7" s="16"/>
      <c r="Q7" s="16"/>
      <c r="R7" s="16"/>
      <c r="S7" s="16"/>
      <c r="T7" s="16"/>
      <c r="U7" s="16"/>
      <c r="V7" s="113">
        <f t="shared" si="0"/>
        <v>13</v>
      </c>
      <c r="W7" s="14"/>
      <c r="X7" s="14"/>
      <c r="Y7" s="14">
        <f>D7*100/$V$7</f>
        <v>38.46153846153846</v>
      </c>
      <c r="Z7" s="14"/>
      <c r="AA7" s="14"/>
      <c r="AB7" s="14"/>
      <c r="AC7" s="14"/>
      <c r="AD7" s="14"/>
      <c r="AE7" s="14"/>
      <c r="AF7" s="14">
        <f>K7*100/$V$7</f>
        <v>61.53846153846154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13">
        <f t="shared" si="1"/>
        <v>100</v>
      </c>
      <c r="AT7" s="45" t="s">
        <v>12</v>
      </c>
      <c r="AU7" s="70">
        <v>100</v>
      </c>
      <c r="AV7" s="91"/>
    </row>
    <row r="8" spans="1:48" x14ac:dyDescent="0.3">
      <c r="A8" s="4" t="s">
        <v>53</v>
      </c>
      <c r="B8" s="16"/>
      <c r="C8" s="16"/>
      <c r="D8" s="43"/>
      <c r="E8" s="69">
        <v>9</v>
      </c>
      <c r="F8" s="16"/>
      <c r="G8" s="43"/>
      <c r="H8" s="43"/>
      <c r="I8" s="43"/>
      <c r="J8" s="16"/>
      <c r="K8" s="69">
        <v>3</v>
      </c>
      <c r="L8" s="16"/>
      <c r="M8" s="16"/>
      <c r="N8" s="16"/>
      <c r="O8" s="43"/>
      <c r="P8" s="16"/>
      <c r="Q8" s="16"/>
      <c r="R8" s="16"/>
      <c r="S8" s="16"/>
      <c r="T8" s="16"/>
      <c r="U8" s="16"/>
      <c r="V8" s="113">
        <f t="shared" si="0"/>
        <v>12</v>
      </c>
      <c r="W8" s="14"/>
      <c r="X8" s="14"/>
      <c r="Y8" s="14"/>
      <c r="Z8" s="14">
        <f>E8*100/$V$8</f>
        <v>75</v>
      </c>
      <c r="AA8" s="14"/>
      <c r="AB8" s="14"/>
      <c r="AC8" s="14"/>
      <c r="AD8" s="14"/>
      <c r="AE8" s="14"/>
      <c r="AF8" s="14">
        <f>K8*100/$V$8</f>
        <v>25</v>
      </c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13">
        <f t="shared" si="1"/>
        <v>100</v>
      </c>
      <c r="AT8" s="45" t="s">
        <v>14</v>
      </c>
      <c r="AU8" s="70">
        <v>60.854068037537338</v>
      </c>
      <c r="AV8" s="91"/>
    </row>
    <row r="9" spans="1:48" x14ac:dyDescent="0.3">
      <c r="A9" s="4" t="s">
        <v>54</v>
      </c>
      <c r="B9" s="16"/>
      <c r="C9" s="16"/>
      <c r="D9" s="43"/>
      <c r="E9" s="43"/>
      <c r="F9" s="16"/>
      <c r="G9" s="43"/>
      <c r="H9" s="43"/>
      <c r="I9" s="69">
        <v>1.6</v>
      </c>
      <c r="J9" s="16"/>
      <c r="K9" s="69">
        <v>4</v>
      </c>
      <c r="L9" s="16"/>
      <c r="M9" s="16"/>
      <c r="N9" s="16"/>
      <c r="O9" s="43"/>
      <c r="P9" s="16"/>
      <c r="Q9" s="16"/>
      <c r="R9" s="16"/>
      <c r="S9" s="16"/>
      <c r="T9" s="16"/>
      <c r="U9" s="16"/>
      <c r="V9" s="113">
        <f t="shared" si="0"/>
        <v>5.6</v>
      </c>
      <c r="W9" s="14"/>
      <c r="X9" s="14"/>
      <c r="Y9" s="14"/>
      <c r="Z9" s="14"/>
      <c r="AA9" s="14"/>
      <c r="AB9" s="14"/>
      <c r="AC9" s="14"/>
      <c r="AD9" s="14">
        <f>I9*100/$V$9</f>
        <v>28.571428571428573</v>
      </c>
      <c r="AE9" s="14"/>
      <c r="AF9" s="14">
        <f>K9*100/$V$9</f>
        <v>71.428571428571431</v>
      </c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13">
        <f t="shared" si="1"/>
        <v>100</v>
      </c>
      <c r="AT9" s="45" t="s">
        <v>16</v>
      </c>
      <c r="AU9" s="70">
        <v>100</v>
      </c>
      <c r="AV9" s="91"/>
    </row>
    <row r="10" spans="1:48" x14ac:dyDescent="0.3">
      <c r="A10" s="113" t="s">
        <v>55</v>
      </c>
      <c r="B10" s="113">
        <v>0.32700000000000001</v>
      </c>
      <c r="C10" s="113"/>
      <c r="D10" s="113"/>
      <c r="E10" s="113"/>
      <c r="F10" s="113"/>
      <c r="G10" s="113">
        <v>2.5000000000000001E-2</v>
      </c>
      <c r="H10" s="113"/>
      <c r="I10" s="113"/>
      <c r="J10" s="113"/>
      <c r="K10" s="113"/>
      <c r="L10" s="113">
        <v>2.512</v>
      </c>
      <c r="M10" s="113"/>
      <c r="N10" s="113"/>
      <c r="O10" s="113"/>
      <c r="P10" s="113">
        <v>4.2999999999999997E-2</v>
      </c>
      <c r="Q10" s="12">
        <v>0.65</v>
      </c>
      <c r="R10" s="113"/>
      <c r="S10" s="113">
        <v>7.4999999999999997E-2</v>
      </c>
      <c r="T10" s="113"/>
      <c r="U10" s="12">
        <v>0.1</v>
      </c>
      <c r="V10" s="113">
        <f>SUM(B10:U10)</f>
        <v>3.7320000000000002</v>
      </c>
      <c r="W10" s="14">
        <f>B10*100/$V$10</f>
        <v>8.7620578778135059</v>
      </c>
      <c r="X10" s="14"/>
      <c r="Y10" s="14"/>
      <c r="Z10" s="14"/>
      <c r="AA10" s="14"/>
      <c r="AB10" s="14">
        <f>G10*100/$V$10</f>
        <v>0.66988210075026788</v>
      </c>
      <c r="AC10" s="14"/>
      <c r="AD10" s="14"/>
      <c r="AE10" s="14"/>
      <c r="AF10" s="14"/>
      <c r="AG10" s="14">
        <f>L10*100/$V$10</f>
        <v>67.309753483386913</v>
      </c>
      <c r="AH10" s="14"/>
      <c r="AI10" s="14"/>
      <c r="AJ10" s="14"/>
      <c r="AK10" s="14">
        <f>P10*100/$V$10</f>
        <v>1.1521972132904608</v>
      </c>
      <c r="AL10" s="14">
        <f>Q10*100/$V$10</f>
        <v>17.416934619506964</v>
      </c>
      <c r="AM10" s="14"/>
      <c r="AN10" s="14">
        <f>S10*100/$V$10</f>
        <v>2.0096463022508035</v>
      </c>
      <c r="AO10" s="14"/>
      <c r="AP10" s="14">
        <f>U10*100/$V$10</f>
        <v>2.6795284030010715</v>
      </c>
      <c r="AQ10" s="113">
        <f>SUM(W10:AP10)</f>
        <v>99.999999999999986</v>
      </c>
      <c r="AT10" s="45" t="s">
        <v>18</v>
      </c>
      <c r="AU10" s="70">
        <v>21.042471042471043</v>
      </c>
      <c r="AV10" s="91"/>
    </row>
    <row r="11" spans="1:48" x14ac:dyDescent="0.3">
      <c r="A11" s="113" t="s">
        <v>56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2">
        <v>1.5</v>
      </c>
      <c r="R11" s="113"/>
      <c r="S11" s="113"/>
      <c r="T11" s="113"/>
      <c r="U11" s="12">
        <v>0.2</v>
      </c>
      <c r="V11" s="113">
        <f t="shared" ref="V11:V23" si="2">SUM(B11:U11)</f>
        <v>1.7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>
        <f>Q11*100/$V$11</f>
        <v>88.235294117647058</v>
      </c>
      <c r="AM11" s="14"/>
      <c r="AN11" s="14"/>
      <c r="AO11" s="14"/>
      <c r="AP11" s="14">
        <f>U11*100/$V$11</f>
        <v>11.764705882352942</v>
      </c>
      <c r="AQ11" s="113">
        <f t="shared" ref="AQ11:AQ23" si="3">SUM(W11:AP11)</f>
        <v>100</v>
      </c>
      <c r="AT11" s="45" t="s">
        <v>71</v>
      </c>
      <c r="AU11" s="70">
        <v>3.2037590773173856</v>
      </c>
      <c r="AV11" s="91"/>
    </row>
    <row r="12" spans="1:48" x14ac:dyDescent="0.3">
      <c r="A12" s="113" t="s">
        <v>57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2">
        <v>22</v>
      </c>
      <c r="M12" s="12"/>
      <c r="N12" s="12"/>
      <c r="O12" s="113"/>
      <c r="P12" s="113"/>
      <c r="Q12" s="113"/>
      <c r="R12" s="113"/>
      <c r="S12" s="113"/>
      <c r="T12" s="113"/>
      <c r="U12" s="113"/>
      <c r="V12" s="113">
        <f t="shared" si="2"/>
        <v>22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>
        <f>L12*100/$V$12</f>
        <v>100</v>
      </c>
      <c r="AH12" s="14"/>
      <c r="AI12" s="14"/>
      <c r="AJ12" s="14"/>
      <c r="AK12" s="14"/>
      <c r="AL12" s="14"/>
      <c r="AM12" s="14"/>
      <c r="AN12" s="14"/>
      <c r="AO12" s="14"/>
      <c r="AP12" s="14"/>
      <c r="AQ12" s="113">
        <f t="shared" si="3"/>
        <v>100</v>
      </c>
      <c r="AT12" s="45" t="s">
        <v>22</v>
      </c>
      <c r="AU12" s="70">
        <v>42.467948717948715</v>
      </c>
      <c r="AV12" s="91"/>
    </row>
    <row r="13" spans="1:48" x14ac:dyDescent="0.3">
      <c r="A13" s="113" t="s">
        <v>59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>
        <v>0.125</v>
      </c>
      <c r="S13" s="113"/>
      <c r="T13" s="113"/>
      <c r="U13" s="113">
        <v>9.5000000000000001E-2</v>
      </c>
      <c r="V13" s="113">
        <f t="shared" si="2"/>
        <v>0.22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>
        <f>R13*100/$V$13</f>
        <v>56.81818181818182</v>
      </c>
      <c r="AN13" s="14"/>
      <c r="AO13" s="14"/>
      <c r="AP13" s="14">
        <f>U13*100/$V$13</f>
        <v>43.18181818181818</v>
      </c>
      <c r="AQ13" s="113">
        <f t="shared" si="3"/>
        <v>100</v>
      </c>
      <c r="AT13" s="45" t="s">
        <v>24</v>
      </c>
      <c r="AU13" s="70">
        <v>83.654876741693457</v>
      </c>
      <c r="AV13" s="91"/>
    </row>
    <row r="14" spans="1:48" x14ac:dyDescent="0.3">
      <c r="A14" s="113" t="s">
        <v>60</v>
      </c>
      <c r="B14" s="113"/>
      <c r="C14" s="113"/>
      <c r="D14" s="113"/>
      <c r="E14" s="113"/>
      <c r="F14" s="113"/>
      <c r="G14" s="12">
        <v>5</v>
      </c>
      <c r="H14" s="12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>
        <f t="shared" si="2"/>
        <v>5</v>
      </c>
      <c r="W14" s="14"/>
      <c r="X14" s="14"/>
      <c r="Y14" s="14"/>
      <c r="Z14" s="14"/>
      <c r="AA14" s="14"/>
      <c r="AB14" s="14">
        <f>G14*100/$V$14</f>
        <v>100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13">
        <f t="shared" si="3"/>
        <v>100</v>
      </c>
      <c r="AT14" s="45" t="s">
        <v>26</v>
      </c>
      <c r="AU14" s="70">
        <v>100</v>
      </c>
      <c r="AV14" s="91"/>
    </row>
    <row r="15" spans="1:48" x14ac:dyDescent="0.3">
      <c r="A15" s="113" t="s">
        <v>61</v>
      </c>
      <c r="B15" s="113"/>
      <c r="C15" s="113"/>
      <c r="D15" s="113"/>
      <c r="E15" s="113"/>
      <c r="F15" s="12">
        <v>32</v>
      </c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>
        <f t="shared" si="2"/>
        <v>32</v>
      </c>
      <c r="W15" s="14"/>
      <c r="X15" s="14"/>
      <c r="Y15" s="14"/>
      <c r="Z15" s="14"/>
      <c r="AA15" s="14">
        <f>F15*100/$V$15</f>
        <v>100</v>
      </c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13">
        <f t="shared" si="3"/>
        <v>100</v>
      </c>
      <c r="AT15" s="45" t="s">
        <v>28</v>
      </c>
      <c r="AU15" s="70">
        <v>64.837049742710121</v>
      </c>
      <c r="AV15" s="91"/>
    </row>
    <row r="16" spans="1:48" x14ac:dyDescent="0.3">
      <c r="A16" s="113" t="s">
        <v>62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2">
        <v>0.4</v>
      </c>
      <c r="V16" s="113">
        <f t="shared" si="2"/>
        <v>0.4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>
        <f>U16*100/$V$16</f>
        <v>100</v>
      </c>
      <c r="AQ16" s="113">
        <f t="shared" si="3"/>
        <v>100</v>
      </c>
      <c r="AT16" s="45" t="s">
        <v>30</v>
      </c>
      <c r="AU16" s="70">
        <v>93.243243243243242</v>
      </c>
      <c r="AV16" s="91"/>
    </row>
    <row r="17" spans="1:48" x14ac:dyDescent="0.3">
      <c r="A17" s="113" t="s">
        <v>63</v>
      </c>
      <c r="B17" s="113"/>
      <c r="C17" s="113"/>
      <c r="D17" s="113"/>
      <c r="E17" s="113"/>
      <c r="F17" s="113"/>
      <c r="G17" s="113">
        <v>1.0249999999999999</v>
      </c>
      <c r="H17" s="113"/>
      <c r="I17" s="113"/>
      <c r="J17" s="113"/>
      <c r="K17" s="113"/>
      <c r="L17" s="113"/>
      <c r="M17" s="113"/>
      <c r="N17" s="113">
        <v>1.89</v>
      </c>
      <c r="O17" s="113"/>
      <c r="P17" s="113"/>
      <c r="Q17" s="113"/>
      <c r="R17" s="113"/>
      <c r="S17" s="113"/>
      <c r="T17" s="113"/>
      <c r="U17" s="113"/>
      <c r="V17" s="113">
        <f t="shared" si="2"/>
        <v>2.915</v>
      </c>
      <c r="W17" s="14"/>
      <c r="X17" s="14"/>
      <c r="Y17" s="14"/>
      <c r="Z17" s="14"/>
      <c r="AA17" s="14"/>
      <c r="AB17" s="14">
        <f>G17*100/$V$17</f>
        <v>35.162950257289872</v>
      </c>
      <c r="AC17" s="14"/>
      <c r="AD17" s="14"/>
      <c r="AE17" s="14"/>
      <c r="AF17" s="14"/>
      <c r="AG17" s="14"/>
      <c r="AH17" s="14"/>
      <c r="AI17" s="14">
        <f>N17*100/$V$17</f>
        <v>64.837049742710121</v>
      </c>
      <c r="AJ17" s="14"/>
      <c r="AK17" s="14"/>
      <c r="AL17" s="14"/>
      <c r="AM17" s="14"/>
      <c r="AN17" s="14"/>
      <c r="AO17" s="14"/>
      <c r="AP17" s="14"/>
      <c r="AQ17" s="113">
        <f t="shared" si="3"/>
        <v>100</v>
      </c>
      <c r="AT17" s="45" t="s">
        <v>72</v>
      </c>
      <c r="AU17" s="70">
        <v>1.1521972132904608</v>
      </c>
      <c r="AV17" s="91"/>
    </row>
    <row r="18" spans="1:48" x14ac:dyDescent="0.3">
      <c r="A18" s="113" t="s">
        <v>64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2">
        <v>19</v>
      </c>
      <c r="N18" s="113"/>
      <c r="O18" s="113"/>
      <c r="P18" s="113"/>
      <c r="Q18" s="113"/>
      <c r="R18" s="113"/>
      <c r="S18" s="113"/>
      <c r="T18" s="113"/>
      <c r="U18" s="113"/>
      <c r="V18" s="113">
        <f t="shared" si="2"/>
        <v>19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>
        <f>M18*100/$V$18</f>
        <v>100</v>
      </c>
      <c r="AI18" s="14"/>
      <c r="AJ18" s="14"/>
      <c r="AK18" s="14"/>
      <c r="AL18" s="14"/>
      <c r="AM18" s="14"/>
      <c r="AN18" s="14"/>
      <c r="AO18" s="14"/>
      <c r="AP18" s="14"/>
      <c r="AQ18" s="113">
        <f t="shared" si="3"/>
        <v>100</v>
      </c>
      <c r="AT18" s="45" t="s">
        <v>73</v>
      </c>
      <c r="AU18" s="70">
        <v>42.50795945858254</v>
      </c>
      <c r="AV18" s="91"/>
    </row>
    <row r="19" spans="1:48" x14ac:dyDescent="0.3">
      <c r="A19" s="113" t="s">
        <v>65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2">
        <v>0.8</v>
      </c>
      <c r="R19" s="113"/>
      <c r="S19" s="113"/>
      <c r="T19" s="113"/>
      <c r="U19" s="113"/>
      <c r="V19" s="113">
        <f t="shared" si="2"/>
        <v>0.8</v>
      </c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>
        <f>Q19*100/$V$19</f>
        <v>100</v>
      </c>
      <c r="AM19" s="14"/>
      <c r="AN19" s="14"/>
      <c r="AO19" s="14"/>
      <c r="AP19" s="14"/>
      <c r="AQ19" s="113">
        <f t="shared" si="3"/>
        <v>100</v>
      </c>
      <c r="AT19" s="45" t="s">
        <v>36</v>
      </c>
      <c r="AU19" s="70">
        <v>32.159090909090907</v>
      </c>
      <c r="AV19" s="91"/>
    </row>
    <row r="20" spans="1:48" x14ac:dyDescent="0.3">
      <c r="A20" s="113" t="s">
        <v>66</v>
      </c>
      <c r="B20" s="113"/>
      <c r="C20" s="113"/>
      <c r="D20" s="12">
        <v>1.8</v>
      </c>
      <c r="E20" s="12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>
        <v>0.05</v>
      </c>
      <c r="R20" s="12">
        <v>0.15</v>
      </c>
      <c r="S20" s="113"/>
      <c r="T20" s="113"/>
      <c r="U20" s="113"/>
      <c r="V20" s="113">
        <f t="shared" si="2"/>
        <v>2</v>
      </c>
      <c r="W20" s="14"/>
      <c r="X20" s="14"/>
      <c r="Y20" s="14">
        <f>D20*100/$V$20</f>
        <v>90</v>
      </c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>
        <f>Q20*100/$V$20</f>
        <v>2.5</v>
      </c>
      <c r="AM20" s="14">
        <f>R20*100/$V$20</f>
        <v>7.5</v>
      </c>
      <c r="AN20" s="14"/>
      <c r="AO20" s="14"/>
      <c r="AP20" s="14"/>
      <c r="AQ20" s="113">
        <f t="shared" si="3"/>
        <v>100</v>
      </c>
      <c r="AT20" s="45" t="s">
        <v>38</v>
      </c>
      <c r="AU20" s="70">
        <v>2.0096463022508035</v>
      </c>
      <c r="AV20" s="91"/>
    </row>
    <row r="21" spans="1:48" x14ac:dyDescent="0.3">
      <c r="A21" s="113" t="s">
        <v>67</v>
      </c>
      <c r="B21" s="113"/>
      <c r="C21" s="12">
        <v>2.5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2">
        <v>0.12</v>
      </c>
      <c r="R21" s="113"/>
      <c r="S21" s="113"/>
      <c r="T21" s="113">
        <v>0.115</v>
      </c>
      <c r="U21" s="113"/>
      <c r="V21" s="113">
        <f t="shared" si="2"/>
        <v>2.7350000000000003</v>
      </c>
      <c r="W21" s="14"/>
      <c r="X21" s="14">
        <f>C21*100/$V$21</f>
        <v>91.407678244972573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>
        <f>Q21*100/$V$21</f>
        <v>4.3875685557586834</v>
      </c>
      <c r="AM21" s="14"/>
      <c r="AN21" s="14"/>
      <c r="AO21" s="14">
        <f>T21*100/$V$21</f>
        <v>4.2047531992687377</v>
      </c>
      <c r="AP21" s="14"/>
      <c r="AQ21" s="113">
        <f t="shared" si="3"/>
        <v>100</v>
      </c>
      <c r="AT21" s="45" t="s">
        <v>40</v>
      </c>
      <c r="AU21" s="70">
        <v>6.3740553693908826</v>
      </c>
      <c r="AV21" s="91"/>
    </row>
    <row r="22" spans="1:48" x14ac:dyDescent="0.3">
      <c r="A22" s="113" t="s">
        <v>68</v>
      </c>
      <c r="B22" s="113">
        <v>2.0179999999999998</v>
      </c>
      <c r="C22" s="113"/>
      <c r="D22" s="113"/>
      <c r="E22" s="113"/>
      <c r="F22" s="113"/>
      <c r="G22" s="113">
        <v>4.8000000000000001E-2</v>
      </c>
      <c r="H22" s="113"/>
      <c r="I22" s="113"/>
      <c r="J22" s="113">
        <v>7.4999999999999997E-2</v>
      </c>
      <c r="K22" s="113"/>
      <c r="L22" s="113"/>
      <c r="M22" s="113"/>
      <c r="N22" s="113"/>
      <c r="O22" s="113"/>
      <c r="P22" s="113"/>
      <c r="Q22" s="113"/>
      <c r="R22" s="113"/>
      <c r="S22" s="113"/>
      <c r="T22" s="12">
        <v>0.2</v>
      </c>
      <c r="U22" s="113"/>
      <c r="V22" s="113">
        <f t="shared" si="2"/>
        <v>2.3410000000000002</v>
      </c>
      <c r="W22" s="14">
        <f>B22*100/$V$22</f>
        <v>86.202477573686451</v>
      </c>
      <c r="X22" s="14"/>
      <c r="Y22" s="14"/>
      <c r="Z22" s="14"/>
      <c r="AA22" s="14"/>
      <c r="AB22" s="14">
        <f>G22*100/$V$22</f>
        <v>2.0504058094831268</v>
      </c>
      <c r="AC22" s="14"/>
      <c r="AD22" s="14"/>
      <c r="AE22" s="14">
        <f>J22*100/$V$22</f>
        <v>3.2037590773173856</v>
      </c>
      <c r="AF22" s="14"/>
      <c r="AG22" s="14"/>
      <c r="AH22" s="14"/>
      <c r="AI22" s="14"/>
      <c r="AJ22" s="14"/>
      <c r="AK22" s="14"/>
      <c r="AL22" s="14"/>
      <c r="AM22" s="14"/>
      <c r="AN22" s="14"/>
      <c r="AO22" s="14">
        <f>T22*100/$V$22</f>
        <v>8.5433575395130283</v>
      </c>
      <c r="AP22" s="14"/>
      <c r="AQ22" s="113">
        <f t="shared" si="3"/>
        <v>99.999999999999986</v>
      </c>
      <c r="AT22" s="45" t="s">
        <v>42</v>
      </c>
      <c r="AU22" s="70">
        <v>39.40651311679305</v>
      </c>
      <c r="AV22" s="91"/>
    </row>
    <row r="23" spans="1:48" x14ac:dyDescent="0.3">
      <c r="A23" s="113" t="s">
        <v>69</v>
      </c>
      <c r="B23" s="113"/>
      <c r="C23" s="113"/>
      <c r="D23" s="113"/>
      <c r="E23" s="113"/>
      <c r="F23" s="113"/>
      <c r="G23" s="113"/>
      <c r="H23" s="113"/>
      <c r="I23" s="12">
        <v>5</v>
      </c>
      <c r="J23" s="113"/>
      <c r="K23" s="113"/>
      <c r="L23" s="113"/>
      <c r="M23" s="113"/>
      <c r="N23" s="113"/>
      <c r="O23" s="12">
        <v>32</v>
      </c>
      <c r="P23" s="113"/>
      <c r="Q23" s="113"/>
      <c r="R23" s="113"/>
      <c r="S23" s="113"/>
      <c r="T23" s="113"/>
      <c r="U23" s="113"/>
      <c r="V23" s="113">
        <f t="shared" si="2"/>
        <v>37</v>
      </c>
      <c r="W23" s="14"/>
      <c r="X23" s="14"/>
      <c r="Y23" s="14"/>
      <c r="Z23" s="14"/>
      <c r="AA23" s="14"/>
      <c r="AB23" s="14"/>
      <c r="AC23" s="14"/>
      <c r="AD23" s="14">
        <f>I23*100/$V$23</f>
        <v>13.513513513513514</v>
      </c>
      <c r="AE23" s="14"/>
      <c r="AF23" s="14"/>
      <c r="AG23" s="14"/>
      <c r="AH23" s="14"/>
      <c r="AI23" s="14"/>
      <c r="AJ23" s="14">
        <f>O23*100/$V$23</f>
        <v>86.486486486486484</v>
      </c>
      <c r="AK23" s="14"/>
      <c r="AL23" s="14"/>
      <c r="AM23" s="14"/>
      <c r="AN23" s="14"/>
      <c r="AO23" s="14"/>
      <c r="AP23" s="14"/>
      <c r="AQ23" s="113">
        <f t="shared" si="3"/>
        <v>100</v>
      </c>
    </row>
    <row r="24" spans="1:48" x14ac:dyDescent="0.3">
      <c r="A24" s="13" t="s">
        <v>142</v>
      </c>
      <c r="B24" s="13">
        <f>SUM(B2:B23)</f>
        <v>2.3449999999999998</v>
      </c>
      <c r="C24" s="13">
        <f t="shared" ref="C24:O24" si="4">SUM(C2:C23)</f>
        <v>2.5</v>
      </c>
      <c r="D24" s="13">
        <f t="shared" si="4"/>
        <v>6.8</v>
      </c>
      <c r="E24" s="13">
        <f t="shared" si="4"/>
        <v>9</v>
      </c>
      <c r="F24" s="13">
        <f t="shared" si="4"/>
        <v>32</v>
      </c>
      <c r="G24" s="13">
        <f t="shared" si="4"/>
        <v>18.722999999999995</v>
      </c>
      <c r="H24" s="13">
        <f t="shared" si="4"/>
        <v>0.72</v>
      </c>
      <c r="I24" s="13">
        <f t="shared" si="4"/>
        <v>6.6</v>
      </c>
      <c r="J24" s="13">
        <f t="shared" si="4"/>
        <v>7.4999999999999997E-2</v>
      </c>
      <c r="K24" s="13">
        <f t="shared" si="4"/>
        <v>16</v>
      </c>
      <c r="L24" s="13">
        <f t="shared" si="4"/>
        <v>24.512</v>
      </c>
      <c r="M24" s="13">
        <f t="shared" si="4"/>
        <v>19</v>
      </c>
      <c r="N24" s="13">
        <f t="shared" si="4"/>
        <v>1.89</v>
      </c>
      <c r="O24" s="13">
        <f t="shared" si="4"/>
        <v>67</v>
      </c>
      <c r="P24" s="13">
        <f>SUM(P2:P23)</f>
        <v>4.2999999999999997E-2</v>
      </c>
      <c r="Q24" s="13">
        <f t="shared" ref="Q24" si="5">SUM(Q2:Q23)</f>
        <v>3.12</v>
      </c>
      <c r="R24" s="13">
        <f t="shared" ref="R24" si="6">SUM(R2:R23)</f>
        <v>0.27500000000000002</v>
      </c>
      <c r="S24" s="13">
        <f t="shared" ref="S24" si="7">SUM(S2:S23)</f>
        <v>7.4999999999999997E-2</v>
      </c>
      <c r="T24" s="13">
        <f t="shared" ref="T24" si="8">SUM(T2:T23)</f>
        <v>0.315</v>
      </c>
      <c r="U24" s="13">
        <f t="shared" ref="U24" si="9">SUM(U2:U23)</f>
        <v>0.79500000000000004</v>
      </c>
      <c r="V24" s="17" t="s">
        <v>76</v>
      </c>
      <c r="W24" s="34">
        <f>AVERAGE(W2:W23)</f>
        <v>47.482267725749978</v>
      </c>
      <c r="X24" s="34">
        <f>AVERAGE(X2:X23)</f>
        <v>91.407678244972573</v>
      </c>
      <c r="Y24" s="34">
        <f>AVERAGE(Y2:Y23)</f>
        <v>64.230769230769226</v>
      </c>
      <c r="Z24" s="34">
        <f t="shared" ref="Z24:AP24" si="10">AVERAGE(Z2:Z23)</f>
        <v>75</v>
      </c>
      <c r="AA24" s="34">
        <f t="shared" si="10"/>
        <v>100</v>
      </c>
      <c r="AB24" s="34">
        <f t="shared" si="10"/>
        <v>60.854068037537338</v>
      </c>
      <c r="AC24" s="34">
        <f t="shared" si="10"/>
        <v>100</v>
      </c>
      <c r="AD24" s="34">
        <f t="shared" si="10"/>
        <v>21.042471042471043</v>
      </c>
      <c r="AE24" s="34">
        <f t="shared" si="10"/>
        <v>3.2037590773173856</v>
      </c>
      <c r="AF24" s="34">
        <f t="shared" si="10"/>
        <v>42.467948717948715</v>
      </c>
      <c r="AG24" s="34">
        <f t="shared" si="10"/>
        <v>83.654876741693457</v>
      </c>
      <c r="AH24" s="34">
        <f t="shared" si="10"/>
        <v>100</v>
      </c>
      <c r="AI24" s="34">
        <f t="shared" si="10"/>
        <v>64.837049742710121</v>
      </c>
      <c r="AJ24" s="34">
        <f t="shared" si="10"/>
        <v>93.243243243243242</v>
      </c>
      <c r="AK24" s="34">
        <f t="shared" si="10"/>
        <v>1.1521972132904608</v>
      </c>
      <c r="AL24" s="34">
        <f t="shared" si="10"/>
        <v>42.50795945858254</v>
      </c>
      <c r="AM24" s="34">
        <f t="shared" si="10"/>
        <v>32.159090909090907</v>
      </c>
      <c r="AN24" s="34">
        <f t="shared" si="10"/>
        <v>2.0096463022508035</v>
      </c>
      <c r="AO24" s="34">
        <f t="shared" si="10"/>
        <v>6.3740553693908826</v>
      </c>
      <c r="AP24" s="34">
        <f t="shared" si="10"/>
        <v>39.40651311679305</v>
      </c>
      <c r="AQ24" s="11"/>
    </row>
    <row r="26" spans="1:48" x14ac:dyDescent="0.3">
      <c r="B26" s="1">
        <f>SUM(B24:F24)</f>
        <v>52.644999999999996</v>
      </c>
      <c r="G26" s="1">
        <f>SUM(G24:H24)</f>
        <v>19.442999999999994</v>
      </c>
      <c r="I26" s="1">
        <f>SUM(I24,R24:T24)</f>
        <v>7.2650000000000006</v>
      </c>
      <c r="J26" s="1">
        <f>SUM(J24:Q24)</f>
        <v>131.64000000000001</v>
      </c>
      <c r="L26" s="1">
        <f>SUM(K24:P24)</f>
        <v>128.44499999999999</v>
      </c>
    </row>
    <row r="27" spans="1:48" x14ac:dyDescent="0.3">
      <c r="V27" s="1">
        <f>AVERAGE(W2:AA23)</f>
        <v>69.976250308287277</v>
      </c>
      <c r="X27" s="2">
        <f>AVERAGE(AB2:AC23)</f>
        <v>65.747309532845165</v>
      </c>
      <c r="AE27" s="2">
        <f>AVERAGE(AE2:AL23)</f>
        <v>53.258872833405825</v>
      </c>
      <c r="AG27" s="2">
        <f>AVERAGE(AF2:AK23)</f>
        <v>62.696116527060802</v>
      </c>
      <c r="AI27" s="2">
        <f>AVERAGE(AD2:AD23,AM2:AO23)</f>
        <v>17.308697277736638</v>
      </c>
    </row>
  </sheetData>
  <mergeCells count="1">
    <mergeCell ref="AT1:AU1"/>
  </mergeCell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DAB0-64F6-47DE-A684-019C64B30310}">
  <dimension ref="A1:U23"/>
  <sheetViews>
    <sheetView tabSelected="1" workbookViewId="0">
      <selection sqref="A1:U1"/>
    </sheetView>
  </sheetViews>
  <sheetFormatPr defaultRowHeight="14.4" x14ac:dyDescent="0.3"/>
  <cols>
    <col min="1" max="1" width="10.88671875" bestFit="1" customWidth="1"/>
    <col min="2" max="2" width="12.44140625" bestFit="1" customWidth="1"/>
    <col min="3" max="3" width="10.33203125" bestFit="1" customWidth="1"/>
    <col min="4" max="4" width="6.44140625" bestFit="1" customWidth="1"/>
    <col min="5" max="5" width="8.6640625" bestFit="1" customWidth="1"/>
    <col min="6" max="6" width="13.44140625" bestFit="1" customWidth="1"/>
    <col min="7" max="7" width="11.44140625" bestFit="1" customWidth="1"/>
    <col min="8" max="8" width="12.88671875" bestFit="1" customWidth="1"/>
    <col min="9" max="9" width="11" bestFit="1" customWidth="1"/>
    <col min="10" max="10" width="7.6640625" bestFit="1" customWidth="1"/>
    <col min="11" max="11" width="9.33203125" bestFit="1" customWidth="1"/>
    <col min="12" max="12" width="8.33203125" bestFit="1" customWidth="1"/>
    <col min="13" max="13" width="7.44140625" bestFit="1" customWidth="1"/>
    <col min="14" max="14" width="9.21875" bestFit="1" customWidth="1"/>
    <col min="15" max="15" width="7.109375" bestFit="1" customWidth="1"/>
    <col min="16" max="16" width="15.109375" bestFit="1" customWidth="1"/>
    <col min="17" max="17" width="14.44140625" bestFit="1" customWidth="1"/>
    <col min="18" max="18" width="9" bestFit="1" customWidth="1"/>
    <col min="19" max="19" width="10.77734375" bestFit="1" customWidth="1"/>
    <col min="21" max="21" width="8.44140625" bestFit="1" customWidth="1"/>
  </cols>
  <sheetData>
    <row r="1" spans="1:21" ht="15.6" x14ac:dyDescent="0.3">
      <c r="A1" s="9" t="s">
        <v>3</v>
      </c>
      <c r="B1" s="9" t="s">
        <v>146</v>
      </c>
      <c r="C1" s="9" t="s">
        <v>147</v>
      </c>
      <c r="D1" s="9" t="s">
        <v>77</v>
      </c>
      <c r="E1" s="9" t="s">
        <v>10</v>
      </c>
      <c r="F1" s="9" t="s">
        <v>12</v>
      </c>
      <c r="G1" s="9" t="s">
        <v>14</v>
      </c>
      <c r="H1" s="9" t="s">
        <v>16</v>
      </c>
      <c r="I1" s="9" t="s">
        <v>18</v>
      </c>
      <c r="J1" s="9" t="s">
        <v>20</v>
      </c>
      <c r="K1" s="9" t="s">
        <v>22</v>
      </c>
      <c r="L1" s="9" t="s">
        <v>24</v>
      </c>
      <c r="M1" s="9" t="s">
        <v>26</v>
      </c>
      <c r="N1" s="9" t="s">
        <v>28</v>
      </c>
      <c r="O1" s="9" t="s">
        <v>30</v>
      </c>
      <c r="P1" s="9" t="s">
        <v>145</v>
      </c>
      <c r="Q1" s="9" t="s">
        <v>144</v>
      </c>
      <c r="R1" s="9" t="s">
        <v>36</v>
      </c>
      <c r="S1" s="9" t="s">
        <v>38</v>
      </c>
      <c r="T1" s="9" t="s">
        <v>40</v>
      </c>
      <c r="U1" s="87" t="s">
        <v>143</v>
      </c>
    </row>
    <row r="2" spans="1:21" ht="15.6" x14ac:dyDescent="0.3">
      <c r="A2" s="4" t="s">
        <v>46</v>
      </c>
      <c r="B2" s="16"/>
      <c r="C2" s="16"/>
      <c r="D2" s="43"/>
      <c r="E2" s="43"/>
      <c r="F2" s="16"/>
      <c r="G2" s="69">
        <v>4.7</v>
      </c>
      <c r="H2" s="43"/>
      <c r="I2" s="43"/>
      <c r="J2" s="16"/>
      <c r="K2" s="43"/>
      <c r="L2" s="16"/>
      <c r="M2" s="16"/>
      <c r="N2" s="16"/>
      <c r="O2" s="43"/>
      <c r="P2" s="16"/>
      <c r="Q2" s="16"/>
      <c r="R2" s="16"/>
      <c r="S2" s="16"/>
      <c r="T2" s="16"/>
      <c r="U2" s="16"/>
    </row>
    <row r="3" spans="1:21" ht="15.6" x14ac:dyDescent="0.3">
      <c r="A3" s="4" t="s">
        <v>47</v>
      </c>
      <c r="B3" s="16"/>
      <c r="C3" s="16"/>
      <c r="D3" s="43"/>
      <c r="E3" s="43"/>
      <c r="F3" s="16"/>
      <c r="G3" s="43">
        <v>0.52500000000000002</v>
      </c>
      <c r="H3" s="43"/>
      <c r="I3" s="43"/>
      <c r="J3" s="16"/>
      <c r="K3" s="43"/>
      <c r="L3" s="16"/>
      <c r="M3" s="16"/>
      <c r="N3" s="16"/>
      <c r="O3" s="43"/>
      <c r="P3" s="16"/>
      <c r="Q3" s="16"/>
      <c r="R3" s="16"/>
      <c r="S3" s="16"/>
      <c r="T3" s="16"/>
      <c r="U3" s="16"/>
    </row>
    <row r="4" spans="1:21" ht="15.6" x14ac:dyDescent="0.3">
      <c r="A4" s="4" t="s">
        <v>49</v>
      </c>
      <c r="B4" s="16"/>
      <c r="C4" s="16"/>
      <c r="D4" s="43"/>
      <c r="E4" s="43"/>
      <c r="F4" s="16"/>
      <c r="G4" s="43">
        <v>7.4</v>
      </c>
      <c r="H4" s="43"/>
      <c r="I4" s="43"/>
      <c r="J4" s="16"/>
      <c r="K4" s="69">
        <v>1</v>
      </c>
      <c r="L4" s="16"/>
      <c r="M4" s="16"/>
      <c r="N4" s="16"/>
      <c r="O4" s="43"/>
      <c r="P4" s="16"/>
      <c r="Q4" s="16"/>
      <c r="R4" s="16"/>
      <c r="S4" s="16"/>
      <c r="T4" s="16"/>
      <c r="U4" s="16"/>
    </row>
    <row r="5" spans="1:21" ht="15.6" x14ac:dyDescent="0.3">
      <c r="A5" s="4" t="s">
        <v>50</v>
      </c>
      <c r="B5" s="16"/>
      <c r="C5" s="16"/>
      <c r="D5" s="43"/>
      <c r="E5" s="43"/>
      <c r="F5" s="16"/>
      <c r="G5" s="43"/>
      <c r="H5" s="69">
        <v>0.72</v>
      </c>
      <c r="I5" s="43"/>
      <c r="J5" s="16"/>
      <c r="K5" s="43"/>
      <c r="L5" s="16"/>
      <c r="M5" s="16"/>
      <c r="N5" s="16"/>
      <c r="O5" s="43"/>
      <c r="P5" s="16"/>
      <c r="Q5" s="16"/>
      <c r="R5" s="16"/>
      <c r="S5" s="16"/>
      <c r="T5" s="16"/>
      <c r="U5" s="16"/>
    </row>
    <row r="6" spans="1:21" ht="15.6" x14ac:dyDescent="0.3">
      <c r="A6" s="4" t="s">
        <v>51</v>
      </c>
      <c r="B6" s="16"/>
      <c r="C6" s="16"/>
      <c r="D6" s="43"/>
      <c r="E6" s="43"/>
      <c r="F6" s="16"/>
      <c r="G6" s="43"/>
      <c r="H6" s="43"/>
      <c r="I6" s="43"/>
      <c r="J6" s="16"/>
      <c r="K6" s="43"/>
      <c r="L6" s="16"/>
      <c r="M6" s="16"/>
      <c r="N6" s="16"/>
      <c r="O6" s="69">
        <v>35</v>
      </c>
      <c r="P6" s="16"/>
      <c r="Q6" s="16"/>
      <c r="R6" s="16"/>
      <c r="S6" s="16"/>
      <c r="T6" s="16"/>
      <c r="U6" s="16"/>
    </row>
    <row r="7" spans="1:21" ht="15.6" x14ac:dyDescent="0.3">
      <c r="A7" s="4" t="s">
        <v>52</v>
      </c>
      <c r="B7" s="16"/>
      <c r="C7" s="16"/>
      <c r="D7" s="69">
        <v>5</v>
      </c>
      <c r="E7" s="43"/>
      <c r="F7" s="16"/>
      <c r="G7" s="43"/>
      <c r="H7" s="43"/>
      <c r="I7" s="43"/>
      <c r="J7" s="16"/>
      <c r="K7" s="69">
        <v>8</v>
      </c>
      <c r="L7" s="16"/>
      <c r="M7" s="16"/>
      <c r="N7" s="16"/>
      <c r="O7" s="43"/>
      <c r="P7" s="16"/>
      <c r="Q7" s="16"/>
      <c r="R7" s="16"/>
      <c r="S7" s="16"/>
      <c r="T7" s="16"/>
      <c r="U7" s="16"/>
    </row>
    <row r="8" spans="1:21" ht="15.6" x14ac:dyDescent="0.3">
      <c r="A8" s="4" t="s">
        <v>53</v>
      </c>
      <c r="B8" s="16"/>
      <c r="C8" s="16"/>
      <c r="D8" s="43"/>
      <c r="E8" s="69">
        <v>9</v>
      </c>
      <c r="F8" s="16"/>
      <c r="G8" s="43"/>
      <c r="H8" s="43"/>
      <c r="I8" s="43"/>
      <c r="J8" s="16"/>
      <c r="K8" s="69">
        <v>3</v>
      </c>
      <c r="L8" s="16"/>
      <c r="M8" s="16"/>
      <c r="N8" s="16"/>
      <c r="O8" s="43"/>
      <c r="P8" s="16"/>
      <c r="Q8" s="16"/>
      <c r="R8" s="16"/>
      <c r="S8" s="16"/>
      <c r="T8" s="16"/>
      <c r="U8" s="16"/>
    </row>
    <row r="9" spans="1:21" ht="15.6" x14ac:dyDescent="0.3">
      <c r="A9" s="4" t="s">
        <v>54</v>
      </c>
      <c r="B9" s="16"/>
      <c r="C9" s="16"/>
      <c r="D9" s="43"/>
      <c r="E9" s="43"/>
      <c r="F9" s="16"/>
      <c r="G9" s="43"/>
      <c r="H9" s="43"/>
      <c r="I9" s="69">
        <v>1.6</v>
      </c>
      <c r="J9" s="16"/>
      <c r="K9" s="69">
        <v>4</v>
      </c>
      <c r="L9" s="16"/>
      <c r="M9" s="16"/>
      <c r="N9" s="16"/>
      <c r="O9" s="43"/>
      <c r="P9" s="16"/>
      <c r="Q9" s="16"/>
      <c r="R9" s="16"/>
      <c r="S9" s="16"/>
      <c r="T9" s="16"/>
      <c r="U9" s="16"/>
    </row>
    <row r="10" spans="1:21" ht="15.6" x14ac:dyDescent="0.3">
      <c r="A10" s="121" t="s">
        <v>55</v>
      </c>
      <c r="B10" s="121">
        <v>0.32700000000000001</v>
      </c>
      <c r="C10" s="121"/>
      <c r="D10" s="121"/>
      <c r="E10" s="121"/>
      <c r="F10" s="121"/>
      <c r="G10" s="121">
        <v>2.5000000000000001E-2</v>
      </c>
      <c r="H10" s="121"/>
      <c r="I10" s="121"/>
      <c r="J10" s="121"/>
      <c r="K10" s="121"/>
      <c r="L10" s="121">
        <v>2.512</v>
      </c>
      <c r="M10" s="121"/>
      <c r="N10" s="121"/>
      <c r="O10" s="121"/>
      <c r="P10" s="121">
        <v>4.2999999999999997E-2</v>
      </c>
      <c r="Q10" s="12">
        <v>0.65</v>
      </c>
      <c r="R10" s="121"/>
      <c r="S10" s="121">
        <v>7.4999999999999997E-2</v>
      </c>
      <c r="T10" s="121"/>
      <c r="U10" s="12">
        <v>0.1</v>
      </c>
    </row>
    <row r="11" spans="1:21" ht="15.6" x14ac:dyDescent="0.3">
      <c r="A11" s="121" t="s">
        <v>56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">
        <v>1.5</v>
      </c>
      <c r="R11" s="121"/>
      <c r="S11" s="121"/>
      <c r="T11" s="121"/>
      <c r="U11" s="12">
        <v>0.2</v>
      </c>
    </row>
    <row r="12" spans="1:21" ht="15.6" x14ac:dyDescent="0.3">
      <c r="A12" s="121" t="s">
        <v>57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">
        <v>22</v>
      </c>
      <c r="M12" s="12"/>
      <c r="N12" s="12"/>
      <c r="O12" s="121"/>
      <c r="P12" s="121"/>
      <c r="Q12" s="121"/>
      <c r="R12" s="121"/>
      <c r="S12" s="121"/>
      <c r="T12" s="121"/>
      <c r="U12" s="121"/>
    </row>
    <row r="13" spans="1:21" ht="15.6" x14ac:dyDescent="0.3">
      <c r="A13" s="121" t="s">
        <v>59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>
        <v>0.125</v>
      </c>
      <c r="S13" s="121"/>
      <c r="T13" s="121"/>
      <c r="U13" s="121">
        <v>9.5000000000000001E-2</v>
      </c>
    </row>
    <row r="14" spans="1:21" ht="15.6" x14ac:dyDescent="0.3">
      <c r="A14" s="121" t="s">
        <v>60</v>
      </c>
      <c r="B14" s="121"/>
      <c r="C14" s="121"/>
      <c r="D14" s="121"/>
      <c r="E14" s="121"/>
      <c r="F14" s="121"/>
      <c r="G14" s="12">
        <v>5</v>
      </c>
      <c r="H14" s="12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</row>
    <row r="15" spans="1:21" ht="15.6" x14ac:dyDescent="0.3">
      <c r="A15" s="121" t="s">
        <v>61</v>
      </c>
      <c r="B15" s="121"/>
      <c r="C15" s="121"/>
      <c r="D15" s="121"/>
      <c r="E15" s="121"/>
      <c r="F15" s="12">
        <v>32</v>
      </c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</row>
    <row r="16" spans="1:21" ht="15.6" x14ac:dyDescent="0.3">
      <c r="A16" s="121" t="s">
        <v>62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">
        <v>0.4</v>
      </c>
    </row>
    <row r="17" spans="1:21" ht="15.6" x14ac:dyDescent="0.3">
      <c r="A17" s="121" t="s">
        <v>63</v>
      </c>
      <c r="B17" s="121"/>
      <c r="C17" s="121"/>
      <c r="D17" s="121"/>
      <c r="E17" s="121"/>
      <c r="F17" s="121"/>
      <c r="G17" s="121">
        <v>1.0249999999999999</v>
      </c>
      <c r="H17" s="121"/>
      <c r="I17" s="121"/>
      <c r="J17" s="121"/>
      <c r="K17" s="121"/>
      <c r="L17" s="121"/>
      <c r="M17" s="121"/>
      <c r="N17" s="121">
        <v>1.89</v>
      </c>
      <c r="O17" s="121"/>
      <c r="P17" s="121"/>
      <c r="Q17" s="121"/>
      <c r="R17" s="121"/>
      <c r="S17" s="121"/>
      <c r="T17" s="121"/>
      <c r="U17" s="121"/>
    </row>
    <row r="18" spans="1:21" ht="15.6" x14ac:dyDescent="0.3">
      <c r="A18" s="121" t="s">
        <v>64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">
        <v>19</v>
      </c>
      <c r="N18" s="121"/>
      <c r="O18" s="121"/>
      <c r="P18" s="121"/>
      <c r="Q18" s="121"/>
      <c r="R18" s="121"/>
      <c r="S18" s="121"/>
      <c r="T18" s="121"/>
      <c r="U18" s="121"/>
    </row>
    <row r="19" spans="1:21" ht="15.6" x14ac:dyDescent="0.3">
      <c r="A19" s="121" t="s">
        <v>65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">
        <v>0.8</v>
      </c>
      <c r="R19" s="121"/>
      <c r="S19" s="121"/>
      <c r="T19" s="121"/>
      <c r="U19" s="121"/>
    </row>
    <row r="20" spans="1:21" ht="15.6" x14ac:dyDescent="0.3">
      <c r="A20" s="121" t="s">
        <v>66</v>
      </c>
      <c r="B20" s="121"/>
      <c r="C20" s="121"/>
      <c r="D20" s="12">
        <v>1.8</v>
      </c>
      <c r="E20" s="12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>
        <v>0.05</v>
      </c>
      <c r="R20" s="12">
        <v>0.15</v>
      </c>
      <c r="S20" s="121"/>
      <c r="T20" s="121"/>
      <c r="U20" s="121"/>
    </row>
    <row r="21" spans="1:21" ht="15.6" x14ac:dyDescent="0.3">
      <c r="A21" s="121" t="s">
        <v>67</v>
      </c>
      <c r="B21" s="121"/>
      <c r="C21" s="12">
        <v>2.5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">
        <v>0.12</v>
      </c>
      <c r="R21" s="121"/>
      <c r="S21" s="121"/>
      <c r="T21" s="121">
        <v>0.115</v>
      </c>
      <c r="U21" s="121"/>
    </row>
    <row r="22" spans="1:21" ht="15.6" x14ac:dyDescent="0.3">
      <c r="A22" s="121" t="s">
        <v>68</v>
      </c>
      <c r="B22" s="121">
        <v>2.0179999999999998</v>
      </c>
      <c r="C22" s="121"/>
      <c r="D22" s="121"/>
      <c r="E22" s="121"/>
      <c r="F22" s="121"/>
      <c r="G22" s="121">
        <v>4.8000000000000001E-2</v>
      </c>
      <c r="H22" s="121"/>
      <c r="I22" s="121"/>
      <c r="J22" s="121">
        <v>7.4999999999999997E-2</v>
      </c>
      <c r="K22" s="121"/>
      <c r="L22" s="121"/>
      <c r="M22" s="121"/>
      <c r="N22" s="121"/>
      <c r="O22" s="121"/>
      <c r="P22" s="121"/>
      <c r="Q22" s="121"/>
      <c r="R22" s="121"/>
      <c r="S22" s="121"/>
      <c r="T22" s="12">
        <v>0.2</v>
      </c>
      <c r="U22" s="121"/>
    </row>
    <row r="23" spans="1:21" ht="15.6" x14ac:dyDescent="0.3">
      <c r="A23" s="121" t="s">
        <v>69</v>
      </c>
      <c r="B23" s="121"/>
      <c r="C23" s="121"/>
      <c r="D23" s="121"/>
      <c r="E23" s="121"/>
      <c r="F23" s="121"/>
      <c r="G23" s="121"/>
      <c r="H23" s="121"/>
      <c r="I23" s="12">
        <v>5</v>
      </c>
      <c r="J23" s="121"/>
      <c r="K23" s="121"/>
      <c r="L23" s="121"/>
      <c r="M23" s="121"/>
      <c r="N23" s="121"/>
      <c r="O23" s="12">
        <v>32</v>
      </c>
      <c r="P23" s="121"/>
      <c r="Q23" s="121"/>
      <c r="R23" s="121"/>
      <c r="S23" s="121"/>
      <c r="T23" s="121"/>
      <c r="U23" s="1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7"/>
  <sheetViews>
    <sheetView showGridLines="0" topLeftCell="G1" zoomScale="80" zoomScaleNormal="80" workbookViewId="0">
      <pane ySplit="1" topLeftCell="A21" activePane="bottomLeft" state="frozen"/>
      <selection pane="bottomLeft" activeCell="A30" sqref="A30:U52"/>
    </sheetView>
  </sheetViews>
  <sheetFormatPr defaultRowHeight="14.4" x14ac:dyDescent="0.3"/>
  <cols>
    <col min="1" max="1" width="14.88671875" customWidth="1"/>
    <col min="2" max="2" width="12.109375" customWidth="1"/>
    <col min="3" max="3" width="15.5546875" customWidth="1"/>
    <col min="4" max="5" width="12.44140625" customWidth="1"/>
    <col min="6" max="6" width="14.33203125" customWidth="1"/>
    <col min="7" max="8" width="13" customWidth="1"/>
    <col min="9" max="9" width="14.6640625" customWidth="1"/>
    <col min="10" max="10" width="10.44140625" customWidth="1"/>
    <col min="11" max="11" width="11.6640625" customWidth="1"/>
    <col min="12" max="12" width="16" customWidth="1"/>
    <col min="13" max="13" width="16.33203125" customWidth="1"/>
    <col min="14" max="14" width="18.33203125" customWidth="1"/>
    <col min="15" max="15" width="12" customWidth="1"/>
    <col min="16" max="16" width="13.5546875" customWidth="1"/>
    <col min="17" max="17" width="16.5546875" customWidth="1"/>
    <col min="18" max="18" width="15.44140625" customWidth="1"/>
    <col min="19" max="19" width="14.44140625" customWidth="1"/>
    <col min="20" max="20" width="14.109375" customWidth="1"/>
    <col min="21" max="21" width="13.5546875" customWidth="1"/>
    <col min="23" max="23" width="11.6640625" customWidth="1"/>
    <col min="24" max="24" width="12" customWidth="1"/>
    <col min="25" max="26" width="11" customWidth="1"/>
    <col min="27" max="27" width="13.109375" customWidth="1"/>
    <col min="28" max="29" width="12.109375" customWidth="1"/>
    <col min="30" max="30" width="12" customWidth="1"/>
    <col min="31" max="32" width="11.5546875" customWidth="1"/>
    <col min="38" max="38" width="14.88671875" customWidth="1"/>
    <col min="39" max="39" width="14.6640625" customWidth="1"/>
    <col min="40" max="40" width="11.5546875" customWidth="1"/>
    <col min="41" max="41" width="12.88671875" customWidth="1"/>
    <col min="42" max="42" width="11.44140625" customWidth="1"/>
    <col min="43" max="43" width="10.6640625" customWidth="1"/>
    <col min="44" max="44" width="7.6640625" customWidth="1"/>
    <col min="45" max="45" width="7.109375" customWidth="1"/>
    <col min="46" max="46" width="18" customWidth="1"/>
    <col min="47" max="47" width="20.109375" customWidth="1"/>
    <col min="48" max="48" width="19.5546875" customWidth="1"/>
    <col min="49" max="49" width="18.109375" customWidth="1"/>
    <col min="50" max="50" width="19.109375" customWidth="1"/>
    <col min="51" max="51" width="17.44140625" customWidth="1"/>
    <col min="52" max="52" width="19.109375" customWidth="1"/>
    <col min="53" max="53" width="15.5546875" customWidth="1"/>
  </cols>
  <sheetData>
    <row r="1" spans="1:54" ht="15.6" x14ac:dyDescent="0.3">
      <c r="A1" s="9" t="s">
        <v>3</v>
      </c>
      <c r="B1" s="9" t="s">
        <v>4</v>
      </c>
      <c r="C1" s="9" t="s">
        <v>6</v>
      </c>
      <c r="D1" s="9" t="s">
        <v>77</v>
      </c>
      <c r="E1" s="9" t="s">
        <v>10</v>
      </c>
      <c r="F1" s="9" t="s">
        <v>12</v>
      </c>
      <c r="G1" s="9" t="s">
        <v>14</v>
      </c>
      <c r="H1" s="9" t="s">
        <v>16</v>
      </c>
      <c r="I1" s="9" t="s">
        <v>18</v>
      </c>
      <c r="J1" s="9" t="s">
        <v>20</v>
      </c>
      <c r="K1" s="9" t="s">
        <v>22</v>
      </c>
      <c r="L1" s="9" t="s">
        <v>24</v>
      </c>
      <c r="M1" s="9" t="s">
        <v>26</v>
      </c>
      <c r="N1" s="9" t="s">
        <v>28</v>
      </c>
      <c r="O1" s="9" t="s">
        <v>30</v>
      </c>
      <c r="P1" s="9" t="s">
        <v>72</v>
      </c>
      <c r="Q1" s="9" t="s">
        <v>73</v>
      </c>
      <c r="R1" s="9" t="s">
        <v>78</v>
      </c>
      <c r="S1" s="9" t="s">
        <v>38</v>
      </c>
      <c r="T1" s="9" t="s">
        <v>40</v>
      </c>
      <c r="U1" s="9" t="s">
        <v>79</v>
      </c>
      <c r="V1" s="80" t="s">
        <v>70</v>
      </c>
      <c r="W1" s="73" t="s">
        <v>4</v>
      </c>
      <c r="X1" s="73" t="s">
        <v>6</v>
      </c>
      <c r="Y1" s="73" t="s">
        <v>77</v>
      </c>
      <c r="Z1" s="73" t="s">
        <v>10</v>
      </c>
      <c r="AA1" s="73" t="s">
        <v>12</v>
      </c>
      <c r="AB1" s="73" t="s">
        <v>14</v>
      </c>
      <c r="AC1" s="73" t="s">
        <v>16</v>
      </c>
      <c r="AD1" s="73" t="s">
        <v>18</v>
      </c>
      <c r="AE1" s="9" t="s">
        <v>71</v>
      </c>
      <c r="AF1" s="73" t="s">
        <v>22</v>
      </c>
      <c r="AG1" s="73" t="s">
        <v>24</v>
      </c>
      <c r="AH1" s="73" t="s">
        <v>26</v>
      </c>
      <c r="AI1" s="73" t="s">
        <v>28</v>
      </c>
      <c r="AJ1" s="73" t="s">
        <v>30</v>
      </c>
      <c r="AK1" s="73" t="s">
        <v>72</v>
      </c>
      <c r="AL1" s="73" t="s">
        <v>73</v>
      </c>
      <c r="AM1" s="73" t="s">
        <v>78</v>
      </c>
      <c r="AN1" s="73" t="s">
        <v>38</v>
      </c>
      <c r="AO1" s="73" t="s">
        <v>40</v>
      </c>
      <c r="AP1" s="73" t="s">
        <v>79</v>
      </c>
      <c r="AQ1" s="80" t="s">
        <v>70</v>
      </c>
      <c r="AT1" s="123" t="s">
        <v>80</v>
      </c>
      <c r="AU1" s="123"/>
      <c r="AV1" s="123" t="s">
        <v>81</v>
      </c>
      <c r="AW1" s="123"/>
      <c r="AX1" s="124" t="s">
        <v>82</v>
      </c>
      <c r="AY1" s="124"/>
      <c r="AZ1" s="46" t="s">
        <v>83</v>
      </c>
      <c r="BA1" s="46" t="s">
        <v>84</v>
      </c>
    </row>
    <row r="2" spans="1:54" ht="15.6" x14ac:dyDescent="0.3">
      <c r="A2" s="113" t="s">
        <v>46</v>
      </c>
      <c r="B2" s="16"/>
      <c r="C2" s="16"/>
      <c r="D2" s="16"/>
      <c r="E2" s="16"/>
      <c r="F2" s="16"/>
      <c r="G2" s="16">
        <v>1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81">
        <f t="shared" ref="V2:V9" si="0">SUM(B2:U2)</f>
        <v>1</v>
      </c>
      <c r="W2" s="113"/>
      <c r="X2" s="113"/>
      <c r="Y2" s="113"/>
      <c r="Z2" s="113"/>
      <c r="AA2" s="113"/>
      <c r="AB2" s="113">
        <f>G2*100/$V$2</f>
        <v>100</v>
      </c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>
        <f t="shared" ref="AQ2:AQ23" si="1">SUM(W2:AP2)</f>
        <v>100</v>
      </c>
      <c r="AT2" s="40" t="s">
        <v>75</v>
      </c>
      <c r="AU2" s="40" t="s">
        <v>76</v>
      </c>
      <c r="AV2" s="40" t="s">
        <v>75</v>
      </c>
      <c r="AW2" s="40" t="s">
        <v>76</v>
      </c>
      <c r="AX2" s="41" t="s">
        <v>75</v>
      </c>
      <c r="AY2" s="41" t="s">
        <v>85</v>
      </c>
      <c r="AZ2" s="47" t="s">
        <v>86</v>
      </c>
      <c r="BA2" s="47" t="s">
        <v>86</v>
      </c>
    </row>
    <row r="3" spans="1:54" ht="15.6" x14ac:dyDescent="0.3">
      <c r="A3" s="113" t="s">
        <v>47</v>
      </c>
      <c r="B3" s="16"/>
      <c r="C3" s="16"/>
      <c r="D3" s="16"/>
      <c r="E3" s="16"/>
      <c r="F3" s="16"/>
      <c r="G3" s="16">
        <v>1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81">
        <f t="shared" si="0"/>
        <v>1</v>
      </c>
      <c r="W3" s="113"/>
      <c r="X3" s="113"/>
      <c r="Y3" s="113"/>
      <c r="Z3" s="113"/>
      <c r="AA3" s="113"/>
      <c r="AB3" s="113">
        <f>G3*100/$V$3</f>
        <v>100</v>
      </c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>
        <f t="shared" si="1"/>
        <v>100</v>
      </c>
      <c r="AS3" s="52"/>
      <c r="AT3" s="72" t="s">
        <v>4</v>
      </c>
      <c r="AU3" s="45">
        <v>14.673913043478262</v>
      </c>
      <c r="AV3" s="72" t="s">
        <v>4</v>
      </c>
      <c r="AW3" s="45">
        <v>17.045454545454547</v>
      </c>
      <c r="AX3" s="72" t="s">
        <v>4</v>
      </c>
      <c r="AY3" s="43">
        <v>2</v>
      </c>
      <c r="AZ3" s="16">
        <v>2</v>
      </c>
      <c r="BA3" s="113">
        <v>2</v>
      </c>
      <c r="BB3" s="35"/>
    </row>
    <row r="4" spans="1:54" ht="15.6" x14ac:dyDescent="0.3">
      <c r="A4" s="113" t="s">
        <v>49</v>
      </c>
      <c r="B4" s="16"/>
      <c r="C4" s="16"/>
      <c r="D4" s="16"/>
      <c r="E4" s="16"/>
      <c r="F4" s="16"/>
      <c r="G4" s="16">
        <v>1</v>
      </c>
      <c r="H4" s="16"/>
      <c r="I4" s="16"/>
      <c r="J4" s="16"/>
      <c r="K4" s="16">
        <v>1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81">
        <f t="shared" si="0"/>
        <v>2</v>
      </c>
      <c r="W4" s="113"/>
      <c r="X4" s="113"/>
      <c r="Y4" s="113"/>
      <c r="Z4" s="113"/>
      <c r="AA4" s="113"/>
      <c r="AB4" s="113">
        <f>G4*100/$V$4</f>
        <v>50</v>
      </c>
      <c r="AC4" s="113"/>
      <c r="AD4" s="113"/>
      <c r="AE4" s="113"/>
      <c r="AF4" s="113">
        <f>K4*100/$V$4</f>
        <v>50</v>
      </c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>
        <f t="shared" si="1"/>
        <v>100</v>
      </c>
      <c r="AS4" s="52"/>
      <c r="AT4" s="72" t="s">
        <v>6</v>
      </c>
      <c r="AU4" s="76">
        <v>25</v>
      </c>
      <c r="AV4" s="72" t="s">
        <v>6</v>
      </c>
      <c r="AW4" s="45">
        <v>33.333333333333336</v>
      </c>
      <c r="AX4" s="72" t="s">
        <v>6</v>
      </c>
      <c r="AY4" s="43">
        <v>1</v>
      </c>
      <c r="AZ4" s="16">
        <v>1</v>
      </c>
      <c r="BA4" s="113">
        <v>1</v>
      </c>
      <c r="BB4" s="35"/>
    </row>
    <row r="5" spans="1:54" ht="15.6" x14ac:dyDescent="0.3">
      <c r="A5" s="113" t="s">
        <v>50</v>
      </c>
      <c r="B5" s="16"/>
      <c r="C5" s="16"/>
      <c r="D5" s="16"/>
      <c r="E5" s="16"/>
      <c r="F5" s="16"/>
      <c r="G5" s="16"/>
      <c r="H5" s="16">
        <v>1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81">
        <f t="shared" si="0"/>
        <v>1</v>
      </c>
      <c r="W5" s="113"/>
      <c r="X5" s="113"/>
      <c r="Y5" s="113"/>
      <c r="Z5" s="113"/>
      <c r="AA5" s="113"/>
      <c r="AB5" s="113"/>
      <c r="AC5" s="113">
        <f>H5*100/$V$5</f>
        <v>100</v>
      </c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>
        <f t="shared" si="1"/>
        <v>100</v>
      </c>
      <c r="AS5" s="52"/>
      <c r="AT5" s="72" t="s">
        <v>77</v>
      </c>
      <c r="AU5" s="76">
        <v>41.666666666666671</v>
      </c>
      <c r="AV5" s="72" t="s">
        <v>77</v>
      </c>
      <c r="AW5" s="45">
        <v>41.666666666666671</v>
      </c>
      <c r="AX5" s="72" t="s">
        <v>77</v>
      </c>
      <c r="AY5" s="43">
        <v>2</v>
      </c>
      <c r="AZ5" s="16">
        <v>2</v>
      </c>
      <c r="BA5" s="113">
        <v>2</v>
      </c>
      <c r="BB5" s="35"/>
    </row>
    <row r="6" spans="1:54" ht="15.6" x14ac:dyDescent="0.3">
      <c r="A6" s="113" t="s">
        <v>51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>
        <v>1</v>
      </c>
      <c r="P6" s="16"/>
      <c r="Q6" s="16"/>
      <c r="R6" s="16"/>
      <c r="S6" s="16"/>
      <c r="T6" s="16"/>
      <c r="U6" s="16"/>
      <c r="V6" s="81">
        <f t="shared" si="0"/>
        <v>1</v>
      </c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>
        <f>O6*100/$V$6</f>
        <v>100</v>
      </c>
      <c r="AK6" s="113"/>
      <c r="AL6" s="113"/>
      <c r="AM6" s="113"/>
      <c r="AN6" s="113"/>
      <c r="AO6" s="113"/>
      <c r="AP6" s="113"/>
      <c r="AQ6" s="113">
        <f t="shared" si="1"/>
        <v>100</v>
      </c>
      <c r="AS6" s="52"/>
      <c r="AT6" s="72" t="s">
        <v>10</v>
      </c>
      <c r="AU6" s="45">
        <v>33.333333333333336</v>
      </c>
      <c r="AV6" s="72" t="s">
        <v>10</v>
      </c>
      <c r="AW6" s="45">
        <v>33.333333333333336</v>
      </c>
      <c r="AX6" s="72" t="s">
        <v>10</v>
      </c>
      <c r="AY6" s="43">
        <v>1</v>
      </c>
      <c r="AZ6" s="16">
        <v>1</v>
      </c>
      <c r="BA6" s="113">
        <v>1</v>
      </c>
      <c r="BB6" s="35"/>
    </row>
    <row r="7" spans="1:54" ht="15.6" x14ac:dyDescent="0.3">
      <c r="A7" s="113" t="s">
        <v>52</v>
      </c>
      <c r="B7" s="16"/>
      <c r="C7" s="16"/>
      <c r="D7" s="16">
        <v>1</v>
      </c>
      <c r="E7" s="16"/>
      <c r="F7" s="16"/>
      <c r="G7" s="16"/>
      <c r="H7" s="16"/>
      <c r="I7" s="16"/>
      <c r="J7" s="16"/>
      <c r="K7" s="16">
        <v>1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81">
        <f t="shared" si="0"/>
        <v>2</v>
      </c>
      <c r="W7" s="113"/>
      <c r="X7" s="113"/>
      <c r="Y7" s="113">
        <f>D7*100/$V$7</f>
        <v>50</v>
      </c>
      <c r="Z7" s="113"/>
      <c r="AA7" s="113"/>
      <c r="AB7" s="113"/>
      <c r="AC7" s="113"/>
      <c r="AD7" s="113"/>
      <c r="AE7" s="113"/>
      <c r="AF7" s="113">
        <f>K7*100/$V$7</f>
        <v>50</v>
      </c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>
        <f t="shared" si="1"/>
        <v>100</v>
      </c>
      <c r="AS7" s="52"/>
      <c r="AT7" s="72" t="s">
        <v>12</v>
      </c>
      <c r="AU7" s="45">
        <v>100</v>
      </c>
      <c r="AV7" s="72" t="s">
        <v>12</v>
      </c>
      <c r="AW7" s="45">
        <v>100</v>
      </c>
      <c r="AX7" s="72" t="s">
        <v>12</v>
      </c>
      <c r="AY7" s="43">
        <v>1</v>
      </c>
      <c r="AZ7" s="16">
        <v>2</v>
      </c>
      <c r="BA7" s="113">
        <v>2</v>
      </c>
      <c r="BB7" s="35"/>
    </row>
    <row r="8" spans="1:54" ht="15.6" x14ac:dyDescent="0.3">
      <c r="A8" s="113" t="s">
        <v>53</v>
      </c>
      <c r="B8" s="16"/>
      <c r="C8" s="16"/>
      <c r="D8" s="16"/>
      <c r="E8" s="16">
        <v>1</v>
      </c>
      <c r="F8" s="16"/>
      <c r="G8" s="16"/>
      <c r="H8" s="16"/>
      <c r="I8" s="16"/>
      <c r="J8" s="16"/>
      <c r="K8" s="16">
        <v>2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81">
        <f t="shared" si="0"/>
        <v>3</v>
      </c>
      <c r="W8" s="113"/>
      <c r="X8" s="113"/>
      <c r="Y8" s="113"/>
      <c r="Z8" s="113">
        <f>E8*100/$V$8</f>
        <v>33.333333333333336</v>
      </c>
      <c r="AA8" s="113"/>
      <c r="AB8" s="113"/>
      <c r="AC8" s="113"/>
      <c r="AD8" s="113"/>
      <c r="AE8" s="113"/>
      <c r="AF8" s="113">
        <f>K8*100/$V$8</f>
        <v>66.666666666666671</v>
      </c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>
        <f t="shared" si="1"/>
        <v>100</v>
      </c>
      <c r="AS8" s="52"/>
      <c r="AT8" s="72" t="s">
        <v>14</v>
      </c>
      <c r="AU8" s="45">
        <v>61.335403726708073</v>
      </c>
      <c r="AV8" s="72" t="s">
        <v>14</v>
      </c>
      <c r="AW8" s="45">
        <v>62.012987012987011</v>
      </c>
      <c r="AX8" s="72" t="s">
        <v>14</v>
      </c>
      <c r="AY8" s="43">
        <v>7</v>
      </c>
      <c r="AZ8" s="16">
        <v>7</v>
      </c>
      <c r="BA8" s="113">
        <v>7</v>
      </c>
      <c r="BB8" s="35"/>
    </row>
    <row r="9" spans="1:54" ht="15.6" x14ac:dyDescent="0.3">
      <c r="A9" s="113" t="s">
        <v>54</v>
      </c>
      <c r="B9" s="16"/>
      <c r="C9" s="16"/>
      <c r="D9" s="16"/>
      <c r="E9" s="16"/>
      <c r="F9" s="16"/>
      <c r="G9" s="16"/>
      <c r="H9" s="16"/>
      <c r="I9" s="16">
        <v>1</v>
      </c>
      <c r="J9" s="16"/>
      <c r="K9" s="16">
        <v>1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81">
        <f t="shared" si="0"/>
        <v>2</v>
      </c>
      <c r="W9" s="113"/>
      <c r="X9" s="113"/>
      <c r="Y9" s="113"/>
      <c r="Z9" s="113"/>
      <c r="AA9" s="113"/>
      <c r="AB9" s="113"/>
      <c r="AC9" s="113"/>
      <c r="AD9" s="113">
        <f>I9*100/$V$9</f>
        <v>50</v>
      </c>
      <c r="AE9" s="113"/>
      <c r="AF9" s="113">
        <f>K9*100/$V$9</f>
        <v>50</v>
      </c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>
        <f t="shared" si="1"/>
        <v>100</v>
      </c>
      <c r="AS9" s="52"/>
      <c r="AT9" s="72" t="s">
        <v>16</v>
      </c>
      <c r="AU9" s="45">
        <v>100</v>
      </c>
      <c r="AV9" s="72" t="s">
        <v>16</v>
      </c>
      <c r="AW9" s="45">
        <v>100</v>
      </c>
      <c r="AX9" s="72" t="s">
        <v>16</v>
      </c>
      <c r="AY9" s="43">
        <v>1</v>
      </c>
      <c r="AZ9" s="16">
        <v>1</v>
      </c>
      <c r="BA9" s="113">
        <v>1</v>
      </c>
      <c r="BB9" s="35"/>
    </row>
    <row r="10" spans="1:54" ht="15.6" x14ac:dyDescent="0.3">
      <c r="A10" s="113" t="s">
        <v>55</v>
      </c>
      <c r="B10" s="113">
        <v>1</v>
      </c>
      <c r="C10" s="113"/>
      <c r="D10" s="113"/>
      <c r="E10" s="113"/>
      <c r="F10" s="113"/>
      <c r="G10" s="113">
        <v>1</v>
      </c>
      <c r="H10" s="113"/>
      <c r="I10" s="113"/>
      <c r="J10" s="113"/>
      <c r="K10" s="113"/>
      <c r="L10" s="113">
        <v>1</v>
      </c>
      <c r="M10" s="113"/>
      <c r="N10" s="113"/>
      <c r="O10" s="113"/>
      <c r="P10" s="113">
        <v>4</v>
      </c>
      <c r="Q10" s="82">
        <v>13</v>
      </c>
      <c r="R10" s="113"/>
      <c r="S10" s="113">
        <v>2</v>
      </c>
      <c r="T10" s="113"/>
      <c r="U10" s="113">
        <v>1</v>
      </c>
      <c r="V10" s="81">
        <f t="shared" ref="V10:V23" si="2">SUM(B10:U10)</f>
        <v>23</v>
      </c>
      <c r="W10" s="113">
        <f>B10*100/$V$10</f>
        <v>4.3478260869565215</v>
      </c>
      <c r="X10" s="113"/>
      <c r="Y10" s="113"/>
      <c r="Z10" s="113"/>
      <c r="AA10" s="113"/>
      <c r="AB10" s="113">
        <f>G10*100/$V$10</f>
        <v>4.3478260869565215</v>
      </c>
      <c r="AC10" s="113"/>
      <c r="AD10" s="113"/>
      <c r="AE10" s="113"/>
      <c r="AF10" s="113"/>
      <c r="AG10" s="113">
        <f>L10*100/$V$10</f>
        <v>4.3478260869565215</v>
      </c>
      <c r="AH10" s="113"/>
      <c r="AI10" s="113"/>
      <c r="AJ10" s="113"/>
      <c r="AK10" s="113">
        <f>P10*100/$V$10</f>
        <v>17.391304347826086</v>
      </c>
      <c r="AL10" s="76">
        <f>Q10*100/$V$10</f>
        <v>56.521739130434781</v>
      </c>
      <c r="AM10" s="113"/>
      <c r="AN10" s="113">
        <f>S10*100/$V$10</f>
        <v>8.695652173913043</v>
      </c>
      <c r="AO10" s="113"/>
      <c r="AP10" s="113">
        <f>U10*100/$V$10</f>
        <v>4.3478260869565215</v>
      </c>
      <c r="AQ10" s="113">
        <f t="shared" si="1"/>
        <v>100</v>
      </c>
      <c r="AS10" s="52"/>
      <c r="AT10" s="72" t="s">
        <v>18</v>
      </c>
      <c r="AU10" s="45">
        <v>50</v>
      </c>
      <c r="AV10" s="72" t="s">
        <v>18</v>
      </c>
      <c r="AW10" s="45">
        <v>50</v>
      </c>
      <c r="AX10" s="72" t="s">
        <v>18</v>
      </c>
      <c r="AY10" s="43">
        <v>2</v>
      </c>
      <c r="AZ10" s="16">
        <v>2</v>
      </c>
      <c r="BA10" s="113">
        <v>2</v>
      </c>
      <c r="BB10" s="35"/>
    </row>
    <row r="11" spans="1:54" ht="15.6" x14ac:dyDescent="0.3">
      <c r="A11" s="113" t="s">
        <v>56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82">
        <v>37</v>
      </c>
      <c r="R11" s="113"/>
      <c r="S11" s="113"/>
      <c r="T11" s="113"/>
      <c r="U11" s="113">
        <v>1</v>
      </c>
      <c r="V11" s="81">
        <f t="shared" si="2"/>
        <v>38</v>
      </c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76">
        <f>Q11*100/$V$11</f>
        <v>97.368421052631575</v>
      </c>
      <c r="AM11" s="113"/>
      <c r="AN11" s="113"/>
      <c r="AO11" s="113"/>
      <c r="AP11" s="113">
        <f>U11*100/$V$11</f>
        <v>2.6315789473684212</v>
      </c>
      <c r="AQ11" s="113">
        <f t="shared" si="1"/>
        <v>100</v>
      </c>
      <c r="AS11" s="52"/>
      <c r="AT11" s="16" t="s">
        <v>71</v>
      </c>
      <c r="AU11" s="45">
        <v>25</v>
      </c>
      <c r="AV11" s="16" t="s">
        <v>71</v>
      </c>
      <c r="AW11" s="45">
        <v>25</v>
      </c>
      <c r="AX11" s="16" t="s">
        <v>71</v>
      </c>
      <c r="AY11" s="43">
        <v>1</v>
      </c>
      <c r="AZ11" s="16">
        <v>1</v>
      </c>
      <c r="BA11" s="113">
        <v>1</v>
      </c>
      <c r="BB11" s="35"/>
    </row>
    <row r="12" spans="1:54" ht="15.6" x14ac:dyDescent="0.3">
      <c r="A12" s="113" t="s">
        <v>57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82">
        <v>1</v>
      </c>
      <c r="M12" s="12"/>
      <c r="N12" s="12"/>
      <c r="O12" s="113"/>
      <c r="P12" s="113"/>
      <c r="Q12" s="82"/>
      <c r="R12" s="113"/>
      <c r="S12" s="113"/>
      <c r="T12" s="113"/>
      <c r="U12" s="113"/>
      <c r="V12" s="81">
        <f t="shared" si="2"/>
        <v>1</v>
      </c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>
        <f>L12*100/$V$12</f>
        <v>100</v>
      </c>
      <c r="AH12" s="113"/>
      <c r="AI12" s="113"/>
      <c r="AJ12" s="113"/>
      <c r="AK12" s="113"/>
      <c r="AL12" s="113"/>
      <c r="AM12" s="113"/>
      <c r="AN12" s="113"/>
      <c r="AO12" s="113"/>
      <c r="AP12" s="113"/>
      <c r="AQ12" s="113">
        <f t="shared" si="1"/>
        <v>100</v>
      </c>
      <c r="AS12" s="52"/>
      <c r="AT12" s="74" t="s">
        <v>22</v>
      </c>
      <c r="AU12" s="45">
        <v>54.166666666666671</v>
      </c>
      <c r="AV12" s="74" t="s">
        <v>22</v>
      </c>
      <c r="AW12" s="45">
        <v>54.166666666666671</v>
      </c>
      <c r="AX12" s="74" t="s">
        <v>22</v>
      </c>
      <c r="AY12" s="43">
        <v>4</v>
      </c>
      <c r="AZ12" s="16">
        <v>5</v>
      </c>
      <c r="BA12" s="113">
        <v>5</v>
      </c>
      <c r="BB12" s="35"/>
    </row>
    <row r="13" spans="1:54" ht="15.6" x14ac:dyDescent="0.3">
      <c r="A13" s="113" t="s">
        <v>59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82"/>
      <c r="R13" s="113">
        <v>1</v>
      </c>
      <c r="S13" s="113"/>
      <c r="T13" s="113"/>
      <c r="U13" s="113">
        <v>1</v>
      </c>
      <c r="V13" s="81">
        <f t="shared" si="2"/>
        <v>2</v>
      </c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>
        <f>R13*100/$V$13</f>
        <v>50</v>
      </c>
      <c r="AN13" s="113"/>
      <c r="AO13" s="113"/>
      <c r="AP13" s="113">
        <f>U13*100/$V$13</f>
        <v>50</v>
      </c>
      <c r="AQ13" s="113">
        <f t="shared" si="1"/>
        <v>100</v>
      </c>
      <c r="AS13" s="52"/>
      <c r="AT13" s="72" t="s">
        <v>24</v>
      </c>
      <c r="AU13" s="45">
        <v>52.173913043478258</v>
      </c>
      <c r="AV13" s="72" t="s">
        <v>24</v>
      </c>
      <c r="AW13" s="45">
        <v>54.545454545454547</v>
      </c>
      <c r="AX13" s="72" t="s">
        <v>24</v>
      </c>
      <c r="AY13" s="43">
        <v>2</v>
      </c>
      <c r="AZ13" s="16">
        <v>2</v>
      </c>
      <c r="BA13" s="113">
        <v>2</v>
      </c>
      <c r="BB13" s="35"/>
    </row>
    <row r="14" spans="1:54" ht="15.6" x14ac:dyDescent="0.3">
      <c r="A14" s="113" t="s">
        <v>60</v>
      </c>
      <c r="B14" s="113"/>
      <c r="C14" s="113"/>
      <c r="D14" s="113"/>
      <c r="E14" s="113"/>
      <c r="F14" s="113"/>
      <c r="G14" s="82">
        <v>1</v>
      </c>
      <c r="H14" s="82"/>
      <c r="I14" s="113"/>
      <c r="J14" s="113"/>
      <c r="K14" s="113"/>
      <c r="L14" s="113"/>
      <c r="M14" s="113"/>
      <c r="N14" s="113"/>
      <c r="O14" s="113"/>
      <c r="P14" s="113"/>
      <c r="Q14" s="82"/>
      <c r="R14" s="113"/>
      <c r="S14" s="113"/>
      <c r="T14" s="113"/>
      <c r="U14" s="113"/>
      <c r="V14" s="81">
        <f t="shared" si="2"/>
        <v>1</v>
      </c>
      <c r="W14" s="113"/>
      <c r="X14" s="113"/>
      <c r="Y14" s="113"/>
      <c r="Z14" s="113"/>
      <c r="AA14" s="113"/>
      <c r="AB14" s="113">
        <f>G14*100/$V$14</f>
        <v>100</v>
      </c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>
        <f t="shared" si="1"/>
        <v>100</v>
      </c>
      <c r="AS14" s="52"/>
      <c r="AT14" s="72" t="s">
        <v>26</v>
      </c>
      <c r="AU14" s="45">
        <v>100</v>
      </c>
      <c r="AV14" s="72" t="s">
        <v>26</v>
      </c>
      <c r="AW14" s="45">
        <v>100</v>
      </c>
      <c r="AX14" s="72" t="s">
        <v>26</v>
      </c>
      <c r="AY14" s="43">
        <v>1</v>
      </c>
      <c r="AZ14" s="16">
        <v>1</v>
      </c>
      <c r="BA14" s="113">
        <v>1</v>
      </c>
      <c r="BB14" s="35"/>
    </row>
    <row r="15" spans="1:54" ht="15.6" x14ac:dyDescent="0.3">
      <c r="A15" s="113" t="s">
        <v>61</v>
      </c>
      <c r="B15" s="113"/>
      <c r="C15" s="113"/>
      <c r="D15" s="113"/>
      <c r="E15" s="113"/>
      <c r="F15" s="82">
        <v>2</v>
      </c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82"/>
      <c r="R15" s="113"/>
      <c r="S15" s="113"/>
      <c r="T15" s="113"/>
      <c r="U15" s="113"/>
      <c r="V15" s="81">
        <f t="shared" si="2"/>
        <v>2</v>
      </c>
      <c r="W15" s="113"/>
      <c r="X15" s="113"/>
      <c r="Y15" s="113"/>
      <c r="Z15" s="113"/>
      <c r="AA15" s="113">
        <f>F15*100/$V$15</f>
        <v>100</v>
      </c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>
        <f t="shared" si="1"/>
        <v>100</v>
      </c>
      <c r="AS15" s="52"/>
      <c r="AT15" s="72" t="s">
        <v>28</v>
      </c>
      <c r="AU15" s="45">
        <v>50</v>
      </c>
      <c r="AV15" s="72" t="s">
        <v>28</v>
      </c>
      <c r="AW15" s="45">
        <v>50</v>
      </c>
      <c r="AX15" s="72" t="s">
        <v>28</v>
      </c>
      <c r="AY15" s="43">
        <v>1</v>
      </c>
      <c r="AZ15" s="16">
        <v>1</v>
      </c>
      <c r="BA15" s="113">
        <v>1</v>
      </c>
      <c r="BB15" s="35"/>
    </row>
    <row r="16" spans="1:54" ht="15.6" x14ac:dyDescent="0.3">
      <c r="A16" s="113" t="s">
        <v>62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82"/>
      <c r="R16" s="113"/>
      <c r="S16" s="113"/>
      <c r="T16" s="113"/>
      <c r="U16" s="113">
        <v>1</v>
      </c>
      <c r="V16" s="81">
        <f t="shared" si="2"/>
        <v>1</v>
      </c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>
        <f>U16*100/$V$16</f>
        <v>100</v>
      </c>
      <c r="AQ16" s="113">
        <f t="shared" si="1"/>
        <v>100</v>
      </c>
      <c r="AS16" s="52"/>
      <c r="AT16" s="72" t="s">
        <v>30</v>
      </c>
      <c r="AU16" s="45">
        <v>75</v>
      </c>
      <c r="AV16" s="72" t="s">
        <v>30</v>
      </c>
      <c r="AW16" s="45">
        <v>75</v>
      </c>
      <c r="AX16" s="72" t="s">
        <v>30</v>
      </c>
      <c r="AY16" s="43">
        <v>2</v>
      </c>
      <c r="AZ16" s="16">
        <v>2</v>
      </c>
      <c r="BA16" s="113">
        <v>2</v>
      </c>
      <c r="BB16" s="35"/>
    </row>
    <row r="17" spans="1:54" ht="15.6" x14ac:dyDescent="0.3">
      <c r="A17" s="113" t="s">
        <v>63</v>
      </c>
      <c r="B17" s="113"/>
      <c r="C17" s="113"/>
      <c r="D17" s="113"/>
      <c r="E17" s="113"/>
      <c r="F17" s="113"/>
      <c r="G17" s="113">
        <v>1</v>
      </c>
      <c r="H17" s="113"/>
      <c r="I17" s="113"/>
      <c r="J17" s="113"/>
      <c r="K17" s="113"/>
      <c r="L17" s="113"/>
      <c r="M17" s="113"/>
      <c r="N17" s="113">
        <v>1</v>
      </c>
      <c r="O17" s="113"/>
      <c r="P17" s="113"/>
      <c r="Q17" s="82"/>
      <c r="R17" s="113"/>
      <c r="S17" s="113"/>
      <c r="T17" s="113"/>
      <c r="U17" s="113"/>
      <c r="V17" s="81">
        <f t="shared" si="2"/>
        <v>2</v>
      </c>
      <c r="W17" s="113"/>
      <c r="X17" s="113"/>
      <c r="Y17" s="113"/>
      <c r="Z17" s="113"/>
      <c r="AA17" s="113"/>
      <c r="AB17" s="113">
        <f>G17*100/$V$17</f>
        <v>50</v>
      </c>
      <c r="AC17" s="113"/>
      <c r="AD17" s="113"/>
      <c r="AE17" s="113"/>
      <c r="AF17" s="113"/>
      <c r="AG17" s="113"/>
      <c r="AH17" s="113"/>
      <c r="AI17" s="113">
        <f>N17*100/$V$17</f>
        <v>50</v>
      </c>
      <c r="AJ17" s="113"/>
      <c r="AK17" s="113"/>
      <c r="AL17" s="113"/>
      <c r="AM17" s="113"/>
      <c r="AN17" s="113"/>
      <c r="AO17" s="113"/>
      <c r="AP17" s="113"/>
      <c r="AQ17" s="113">
        <f t="shared" si="1"/>
        <v>100</v>
      </c>
      <c r="AS17" s="52"/>
      <c r="AT17" s="72" t="s">
        <v>72</v>
      </c>
      <c r="AU17" s="45">
        <v>17.391304347826086</v>
      </c>
      <c r="AV17" s="72" t="s">
        <v>72</v>
      </c>
      <c r="AW17" s="45">
        <v>36.363636363636367</v>
      </c>
      <c r="AX17" s="72" t="s">
        <v>72</v>
      </c>
      <c r="AY17" s="43">
        <v>1</v>
      </c>
      <c r="AZ17" s="16">
        <v>4</v>
      </c>
      <c r="BA17" s="113">
        <v>4</v>
      </c>
      <c r="BB17" s="35"/>
    </row>
    <row r="18" spans="1:54" ht="15.6" x14ac:dyDescent="0.3">
      <c r="A18" s="113" t="s">
        <v>64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82">
        <v>1</v>
      </c>
      <c r="N18" s="113"/>
      <c r="O18" s="113"/>
      <c r="P18" s="113"/>
      <c r="Q18" s="82"/>
      <c r="R18" s="113"/>
      <c r="S18" s="113"/>
      <c r="T18" s="113"/>
      <c r="U18" s="113"/>
      <c r="V18" s="81">
        <f t="shared" si="2"/>
        <v>1</v>
      </c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>
        <f>M18*100/$V$18</f>
        <v>100</v>
      </c>
      <c r="AI18" s="113"/>
      <c r="AJ18" s="113"/>
      <c r="AK18" s="113"/>
      <c r="AL18" s="113"/>
      <c r="AM18" s="113"/>
      <c r="AN18" s="113"/>
      <c r="AO18" s="113"/>
      <c r="AP18" s="113"/>
      <c r="AQ18" s="113">
        <f t="shared" si="1"/>
        <v>100</v>
      </c>
      <c r="AS18" s="52"/>
      <c r="AT18" s="72" t="s">
        <v>73</v>
      </c>
      <c r="AU18" s="45">
        <v>67.44469870327994</v>
      </c>
      <c r="AV18" s="72" t="s">
        <v>73</v>
      </c>
      <c r="AW18" s="45">
        <v>45.151515151515156</v>
      </c>
      <c r="AX18" s="72" t="s">
        <v>73</v>
      </c>
      <c r="AY18" s="43">
        <v>5</v>
      </c>
      <c r="AZ18" s="16">
        <v>69</v>
      </c>
      <c r="BA18" s="113">
        <v>5</v>
      </c>
      <c r="BB18" s="35"/>
    </row>
    <row r="19" spans="1:54" ht="15.6" x14ac:dyDescent="0.3">
      <c r="A19" s="113" t="s">
        <v>65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82">
        <v>16</v>
      </c>
      <c r="R19" s="113"/>
      <c r="S19" s="113"/>
      <c r="T19" s="113"/>
      <c r="U19" s="113"/>
      <c r="V19" s="81">
        <f t="shared" si="2"/>
        <v>16</v>
      </c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>
        <f>Q19*100/$V$19</f>
        <v>100</v>
      </c>
      <c r="AM19" s="113"/>
      <c r="AN19" s="113"/>
      <c r="AO19" s="113"/>
      <c r="AP19" s="113"/>
      <c r="AQ19" s="113">
        <f t="shared" si="1"/>
        <v>100</v>
      </c>
      <c r="AS19" s="52"/>
      <c r="AT19" s="72" t="s">
        <v>78</v>
      </c>
      <c r="AU19" s="45">
        <v>41.666666666666671</v>
      </c>
      <c r="AV19" s="72" t="s">
        <v>78</v>
      </c>
      <c r="AW19" s="45">
        <v>41.666666666666671</v>
      </c>
      <c r="AX19" s="72" t="s">
        <v>78</v>
      </c>
      <c r="AY19" s="43">
        <v>2</v>
      </c>
      <c r="AZ19" s="16">
        <v>2</v>
      </c>
      <c r="BA19" s="113">
        <v>2</v>
      </c>
      <c r="BB19" s="35"/>
    </row>
    <row r="20" spans="1:54" ht="15.6" x14ac:dyDescent="0.3">
      <c r="A20" s="113" t="s">
        <v>66</v>
      </c>
      <c r="B20" s="113"/>
      <c r="C20" s="113"/>
      <c r="D20" s="82">
        <v>1</v>
      </c>
      <c r="E20" s="82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82">
        <v>1</v>
      </c>
      <c r="R20" s="82">
        <v>1</v>
      </c>
      <c r="S20" s="113"/>
      <c r="T20" s="113"/>
      <c r="U20" s="113"/>
      <c r="V20" s="81">
        <f t="shared" si="2"/>
        <v>3</v>
      </c>
      <c r="W20" s="113"/>
      <c r="X20" s="113"/>
      <c r="Y20" s="113">
        <f>D20*100/$V$20</f>
        <v>33.333333333333336</v>
      </c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>
        <f>Q20*100/$V$20</f>
        <v>33.333333333333336</v>
      </c>
      <c r="AM20" s="113">
        <f>R20*100/$V$20</f>
        <v>33.333333333333336</v>
      </c>
      <c r="AN20" s="113"/>
      <c r="AO20" s="113"/>
      <c r="AP20" s="113"/>
      <c r="AQ20" s="113">
        <f t="shared" si="1"/>
        <v>100</v>
      </c>
      <c r="AS20" s="52"/>
      <c r="AT20" s="72" t="s">
        <v>38</v>
      </c>
      <c r="AU20" s="45">
        <v>8.695652173913043</v>
      </c>
      <c r="AV20" s="72" t="s">
        <v>38</v>
      </c>
      <c r="AW20" s="45">
        <v>18.181818181818183</v>
      </c>
      <c r="AX20" s="72" t="s">
        <v>38</v>
      </c>
      <c r="AY20" s="16">
        <v>1</v>
      </c>
      <c r="AZ20" s="16">
        <v>2</v>
      </c>
      <c r="BA20" s="113">
        <v>2</v>
      </c>
      <c r="BB20" s="35"/>
    </row>
    <row r="21" spans="1:54" ht="15.6" x14ac:dyDescent="0.3">
      <c r="A21" s="113" t="s">
        <v>67</v>
      </c>
      <c r="B21" s="113"/>
      <c r="C21" s="82">
        <v>1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82">
        <v>2</v>
      </c>
      <c r="R21" s="113"/>
      <c r="S21" s="113"/>
      <c r="T21" s="113">
        <v>1</v>
      </c>
      <c r="U21" s="113"/>
      <c r="V21" s="81">
        <f t="shared" si="2"/>
        <v>4</v>
      </c>
      <c r="W21" s="113"/>
      <c r="X21" s="113">
        <f>C21*100/$V$21</f>
        <v>25</v>
      </c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>
        <f>Q21*100/$V$21</f>
        <v>50</v>
      </c>
      <c r="AM21" s="113"/>
      <c r="AN21" s="113"/>
      <c r="AO21" s="113">
        <f>T21*100/$V$21</f>
        <v>25</v>
      </c>
      <c r="AP21" s="113"/>
      <c r="AQ21" s="113">
        <f t="shared" si="1"/>
        <v>100</v>
      </c>
      <c r="AS21" s="52"/>
      <c r="AT21" s="72" t="s">
        <v>40</v>
      </c>
      <c r="AU21" s="45">
        <v>25</v>
      </c>
      <c r="AV21" s="72" t="s">
        <v>40</v>
      </c>
      <c r="AW21" s="70">
        <v>29.166666666666668</v>
      </c>
      <c r="AX21" s="72" t="s">
        <v>40</v>
      </c>
      <c r="AY21" s="43">
        <v>2</v>
      </c>
      <c r="AZ21" s="16">
        <v>2</v>
      </c>
      <c r="BA21" s="113">
        <v>2</v>
      </c>
      <c r="BB21" s="35"/>
    </row>
    <row r="22" spans="1:54" ht="15.6" x14ac:dyDescent="0.3">
      <c r="A22" s="113" t="s">
        <v>68</v>
      </c>
      <c r="B22" s="113">
        <v>1</v>
      </c>
      <c r="C22" s="113"/>
      <c r="D22" s="113"/>
      <c r="E22" s="113"/>
      <c r="F22" s="113"/>
      <c r="G22" s="113">
        <v>1</v>
      </c>
      <c r="H22" s="113"/>
      <c r="I22" s="113"/>
      <c r="J22" s="113">
        <v>1</v>
      </c>
      <c r="K22" s="113"/>
      <c r="L22" s="113"/>
      <c r="M22" s="113"/>
      <c r="N22" s="113"/>
      <c r="O22" s="113"/>
      <c r="P22" s="113"/>
      <c r="Q22" s="113"/>
      <c r="R22" s="113"/>
      <c r="S22" s="113"/>
      <c r="T22" s="82">
        <v>1</v>
      </c>
      <c r="U22" s="113"/>
      <c r="V22" s="81">
        <f t="shared" si="2"/>
        <v>4</v>
      </c>
      <c r="W22" s="113">
        <f>B22*100/$V$22</f>
        <v>25</v>
      </c>
      <c r="X22" s="113"/>
      <c r="Y22" s="113"/>
      <c r="Z22" s="113"/>
      <c r="AA22" s="113"/>
      <c r="AB22" s="113">
        <f>G22*100/$V$22</f>
        <v>25</v>
      </c>
      <c r="AC22" s="113"/>
      <c r="AD22" s="113"/>
      <c r="AE22" s="113">
        <f>J22*100/$V$22</f>
        <v>25</v>
      </c>
      <c r="AF22" s="113"/>
      <c r="AG22" s="113"/>
      <c r="AH22" s="113"/>
      <c r="AI22" s="113"/>
      <c r="AJ22" s="113"/>
      <c r="AK22" s="113"/>
      <c r="AL22" s="113"/>
      <c r="AM22" s="113"/>
      <c r="AN22" s="113"/>
      <c r="AO22" s="113">
        <f>T22*100/$V$22</f>
        <v>25</v>
      </c>
      <c r="AP22" s="113"/>
      <c r="AQ22" s="113">
        <f t="shared" si="1"/>
        <v>100</v>
      </c>
      <c r="AS22" s="52"/>
      <c r="AT22" s="43" t="s">
        <v>79</v>
      </c>
      <c r="AU22" s="45">
        <v>39.244851258581235</v>
      </c>
      <c r="AV22" s="43" t="s">
        <v>79</v>
      </c>
      <c r="AW22" s="70">
        <v>52.272727272727273</v>
      </c>
      <c r="AX22" s="43" t="s">
        <v>79</v>
      </c>
      <c r="AY22" s="43">
        <v>4</v>
      </c>
      <c r="AZ22" s="16">
        <v>4</v>
      </c>
      <c r="BA22" s="113">
        <v>4</v>
      </c>
      <c r="BB22" s="35"/>
    </row>
    <row r="23" spans="1:54" ht="15.6" x14ac:dyDescent="0.3">
      <c r="A23" s="113" t="s">
        <v>69</v>
      </c>
      <c r="B23" s="113"/>
      <c r="C23" s="113"/>
      <c r="D23" s="113"/>
      <c r="E23" s="113"/>
      <c r="F23" s="113"/>
      <c r="G23" s="113"/>
      <c r="H23" s="113"/>
      <c r="I23" s="82">
        <v>1</v>
      </c>
      <c r="J23" s="113"/>
      <c r="K23" s="113"/>
      <c r="L23" s="113"/>
      <c r="M23" s="113"/>
      <c r="N23" s="113"/>
      <c r="O23" s="82">
        <v>1</v>
      </c>
      <c r="P23" s="113"/>
      <c r="Q23" s="113"/>
      <c r="R23" s="113"/>
      <c r="S23" s="113"/>
      <c r="T23" s="113"/>
      <c r="U23" s="113"/>
      <c r="V23" s="81">
        <f t="shared" si="2"/>
        <v>2</v>
      </c>
      <c r="W23" s="113"/>
      <c r="X23" s="113"/>
      <c r="Y23" s="113"/>
      <c r="Z23" s="113"/>
      <c r="AA23" s="113"/>
      <c r="AB23" s="113"/>
      <c r="AC23" s="113"/>
      <c r="AD23" s="113">
        <f>I23*100/$V$23</f>
        <v>50</v>
      </c>
      <c r="AE23" s="113"/>
      <c r="AF23" s="113"/>
      <c r="AG23" s="113"/>
      <c r="AH23" s="113"/>
      <c r="AI23" s="113"/>
      <c r="AJ23" s="113">
        <f>O23*100/$V$23</f>
        <v>50</v>
      </c>
      <c r="AK23" s="113"/>
      <c r="AL23" s="113"/>
      <c r="AM23" s="113"/>
      <c r="AN23" s="113"/>
      <c r="AO23" s="113"/>
      <c r="AP23" s="113"/>
      <c r="AQ23" s="113">
        <f t="shared" si="1"/>
        <v>100</v>
      </c>
      <c r="AT23" s="35"/>
      <c r="AU23" s="35"/>
      <c r="AV23" s="35"/>
      <c r="AW23" s="35"/>
      <c r="AX23" s="35"/>
      <c r="AY23" s="35"/>
      <c r="AZ23" s="35"/>
      <c r="BA23" s="35"/>
      <c r="BB23" s="35"/>
    </row>
    <row r="24" spans="1:54" ht="15.6" x14ac:dyDescent="0.3">
      <c r="A24" s="83" t="s">
        <v>87</v>
      </c>
      <c r="B24" s="84">
        <f>SUM(B2:B23)</f>
        <v>2</v>
      </c>
      <c r="C24" s="84">
        <f t="shared" ref="C24:K24" si="3">SUM(C2:C23)</f>
        <v>1</v>
      </c>
      <c r="D24" s="84">
        <f t="shared" si="3"/>
        <v>2</v>
      </c>
      <c r="E24" s="84">
        <f t="shared" si="3"/>
        <v>1</v>
      </c>
      <c r="F24" s="84">
        <f t="shared" si="3"/>
        <v>2</v>
      </c>
      <c r="G24" s="84">
        <f t="shared" si="3"/>
        <v>7</v>
      </c>
      <c r="H24" s="84">
        <f t="shared" si="3"/>
        <v>1</v>
      </c>
      <c r="I24" s="84">
        <f t="shared" si="3"/>
        <v>2</v>
      </c>
      <c r="J24" s="84">
        <f t="shared" si="3"/>
        <v>1</v>
      </c>
      <c r="K24" s="84">
        <f t="shared" si="3"/>
        <v>5</v>
      </c>
      <c r="L24" s="84">
        <f t="shared" ref="L24:U24" si="4">SUM(L2:L23)</f>
        <v>2</v>
      </c>
      <c r="M24" s="84">
        <f t="shared" si="4"/>
        <v>1</v>
      </c>
      <c r="N24" s="84">
        <f t="shared" si="4"/>
        <v>1</v>
      </c>
      <c r="O24" s="84">
        <f t="shared" si="4"/>
        <v>2</v>
      </c>
      <c r="P24" s="84">
        <f t="shared" si="4"/>
        <v>4</v>
      </c>
      <c r="Q24" s="84">
        <f t="shared" si="4"/>
        <v>69</v>
      </c>
      <c r="R24" s="84">
        <f t="shared" si="4"/>
        <v>2</v>
      </c>
      <c r="S24" s="84">
        <f t="shared" si="4"/>
        <v>2</v>
      </c>
      <c r="T24" s="84">
        <f t="shared" si="4"/>
        <v>2</v>
      </c>
      <c r="U24" s="84">
        <f t="shared" si="4"/>
        <v>4</v>
      </c>
      <c r="V24" s="77" t="s">
        <v>76</v>
      </c>
      <c r="W24" s="38">
        <f t="shared" ref="W24:AP24" si="5">AVERAGE(W2:W23)</f>
        <v>14.673913043478262</v>
      </c>
      <c r="X24" s="38">
        <f t="shared" si="5"/>
        <v>25</v>
      </c>
      <c r="Y24" s="38">
        <f t="shared" si="5"/>
        <v>41.666666666666671</v>
      </c>
      <c r="Z24" s="38">
        <f t="shared" si="5"/>
        <v>33.333333333333336</v>
      </c>
      <c r="AA24" s="38">
        <f t="shared" si="5"/>
        <v>100</v>
      </c>
      <c r="AB24" s="38">
        <f t="shared" si="5"/>
        <v>61.335403726708073</v>
      </c>
      <c r="AC24" s="38">
        <f t="shared" si="5"/>
        <v>100</v>
      </c>
      <c r="AD24" s="38">
        <f t="shared" si="5"/>
        <v>50</v>
      </c>
      <c r="AE24" s="38">
        <f t="shared" si="5"/>
        <v>25</v>
      </c>
      <c r="AF24" s="38">
        <f t="shared" si="5"/>
        <v>54.166666666666671</v>
      </c>
      <c r="AG24" s="38">
        <f t="shared" si="5"/>
        <v>52.173913043478258</v>
      </c>
      <c r="AH24" s="38">
        <f t="shared" si="5"/>
        <v>100</v>
      </c>
      <c r="AI24" s="38">
        <f t="shared" si="5"/>
        <v>50</v>
      </c>
      <c r="AJ24" s="38">
        <f t="shared" si="5"/>
        <v>75</v>
      </c>
      <c r="AK24" s="38">
        <f t="shared" si="5"/>
        <v>17.391304347826086</v>
      </c>
      <c r="AL24" s="38">
        <f t="shared" si="5"/>
        <v>67.44469870327994</v>
      </c>
      <c r="AM24" s="38">
        <f t="shared" si="5"/>
        <v>41.666666666666671</v>
      </c>
      <c r="AN24" s="38">
        <f t="shared" si="5"/>
        <v>8.695652173913043</v>
      </c>
      <c r="AO24" s="38">
        <f t="shared" si="5"/>
        <v>25</v>
      </c>
      <c r="AP24" s="38">
        <f t="shared" si="5"/>
        <v>39.244851258581235</v>
      </c>
      <c r="AQ24" s="113"/>
      <c r="AT24" s="35"/>
      <c r="AU24" s="35"/>
      <c r="AV24" s="35"/>
      <c r="AW24" s="35"/>
      <c r="AX24" s="35"/>
      <c r="AY24" s="35"/>
      <c r="AZ24" s="35"/>
      <c r="BA24" s="35"/>
      <c r="BB24" s="35"/>
    </row>
    <row r="25" spans="1:54" ht="15.6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T25" s="35"/>
      <c r="AU25" s="35"/>
      <c r="AV25" s="35"/>
      <c r="AW25" s="35"/>
      <c r="AX25" s="35"/>
      <c r="AY25" s="35"/>
      <c r="AZ25" s="35"/>
      <c r="BA25" s="35"/>
      <c r="BB25" s="35"/>
    </row>
    <row r="26" spans="1:54" ht="15.6" x14ac:dyDescent="0.3">
      <c r="A26" s="85" t="s">
        <v>82</v>
      </c>
      <c r="B26" s="86">
        <f>COUNT(B2:B23)</f>
        <v>2</v>
      </c>
      <c r="C26" s="86">
        <f t="shared" ref="C26:U26" si="6">COUNT(C2:C23)</f>
        <v>1</v>
      </c>
      <c r="D26" s="86">
        <f t="shared" si="6"/>
        <v>2</v>
      </c>
      <c r="E26" s="86">
        <f t="shared" si="6"/>
        <v>1</v>
      </c>
      <c r="F26" s="86">
        <f t="shared" si="6"/>
        <v>1</v>
      </c>
      <c r="G26" s="86">
        <f t="shared" si="6"/>
        <v>7</v>
      </c>
      <c r="H26" s="86">
        <f>COUNT(H2:H23)</f>
        <v>1</v>
      </c>
      <c r="I26" s="86">
        <f t="shared" si="6"/>
        <v>2</v>
      </c>
      <c r="J26" s="86">
        <f t="shared" si="6"/>
        <v>1</v>
      </c>
      <c r="K26" s="86">
        <f t="shared" si="6"/>
        <v>4</v>
      </c>
      <c r="L26" s="86">
        <f t="shared" si="6"/>
        <v>2</v>
      </c>
      <c r="M26" s="86">
        <f t="shared" si="6"/>
        <v>1</v>
      </c>
      <c r="N26" s="86">
        <f>COUNT(N2:N23)</f>
        <v>1</v>
      </c>
      <c r="O26" s="86">
        <f t="shared" si="6"/>
        <v>2</v>
      </c>
      <c r="P26" s="86">
        <f t="shared" si="6"/>
        <v>1</v>
      </c>
      <c r="Q26" s="86">
        <f t="shared" si="6"/>
        <v>5</v>
      </c>
      <c r="R26" s="86">
        <f t="shared" si="6"/>
        <v>2</v>
      </c>
      <c r="S26" s="86">
        <f t="shared" si="6"/>
        <v>1</v>
      </c>
      <c r="T26" s="86">
        <f>COUNT(T2:T23)</f>
        <v>2</v>
      </c>
      <c r="U26" s="86">
        <f t="shared" si="6"/>
        <v>4</v>
      </c>
      <c r="V26" s="13"/>
      <c r="W26" s="125"/>
      <c r="X26" s="125"/>
      <c r="Y26" s="125"/>
      <c r="Z26" s="125"/>
      <c r="AA26" s="125"/>
      <c r="AB26" s="125"/>
      <c r="AC26" s="125"/>
      <c r="AD26" s="125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</row>
    <row r="27" spans="1:54" ht="15.6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</row>
    <row r="28" spans="1:54" ht="15.6" x14ac:dyDescent="0.3">
      <c r="A28" s="126" t="s">
        <v>88</v>
      </c>
      <c r="B28" s="126"/>
      <c r="C28" s="126"/>
      <c r="D28" s="126"/>
      <c r="E28" s="126"/>
      <c r="F28" s="126"/>
      <c r="G28" s="126"/>
      <c r="H28" s="110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</row>
    <row r="29" spans="1:54" ht="15.6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</row>
    <row r="30" spans="1:54" ht="15.6" x14ac:dyDescent="0.3">
      <c r="A30" s="9" t="s">
        <v>3</v>
      </c>
      <c r="B30" s="9" t="s">
        <v>4</v>
      </c>
      <c r="C30" s="9" t="s">
        <v>6</v>
      </c>
      <c r="D30" s="9" t="s">
        <v>77</v>
      </c>
      <c r="E30" s="9" t="s">
        <v>10</v>
      </c>
      <c r="F30" s="9" t="s">
        <v>12</v>
      </c>
      <c r="G30" s="9" t="s">
        <v>14</v>
      </c>
      <c r="H30" s="9" t="s">
        <v>16</v>
      </c>
      <c r="I30" s="9" t="s">
        <v>18</v>
      </c>
      <c r="J30" s="9" t="s">
        <v>20</v>
      </c>
      <c r="K30" s="9" t="s">
        <v>22</v>
      </c>
      <c r="L30" s="9" t="s">
        <v>24</v>
      </c>
      <c r="M30" s="9" t="s">
        <v>26</v>
      </c>
      <c r="N30" s="9" t="s">
        <v>28</v>
      </c>
      <c r="O30" s="9" t="s">
        <v>30</v>
      </c>
      <c r="P30" s="9" t="s">
        <v>72</v>
      </c>
      <c r="Q30" s="9" t="s">
        <v>89</v>
      </c>
      <c r="R30" s="9" t="s">
        <v>78</v>
      </c>
      <c r="S30" s="9" t="s">
        <v>38</v>
      </c>
      <c r="T30" s="9" t="s">
        <v>40</v>
      </c>
      <c r="U30" s="87" t="s">
        <v>79</v>
      </c>
      <c r="V30" s="88" t="s">
        <v>70</v>
      </c>
      <c r="W30" s="73" t="s">
        <v>4</v>
      </c>
      <c r="X30" s="73" t="s">
        <v>6</v>
      </c>
      <c r="Y30" s="73" t="s">
        <v>77</v>
      </c>
      <c r="Z30" s="73" t="s">
        <v>10</v>
      </c>
      <c r="AA30" s="73" t="s">
        <v>12</v>
      </c>
      <c r="AB30" s="73" t="s">
        <v>14</v>
      </c>
      <c r="AC30" s="73" t="s">
        <v>16</v>
      </c>
      <c r="AD30" s="73" t="s">
        <v>18</v>
      </c>
      <c r="AE30" s="73" t="s">
        <v>71</v>
      </c>
      <c r="AF30" s="73" t="s">
        <v>22</v>
      </c>
      <c r="AG30" s="73" t="s">
        <v>24</v>
      </c>
      <c r="AH30" s="73" t="s">
        <v>26</v>
      </c>
      <c r="AI30" s="73" t="s">
        <v>28</v>
      </c>
      <c r="AJ30" s="73" t="s">
        <v>30</v>
      </c>
      <c r="AK30" s="73" t="s">
        <v>72</v>
      </c>
      <c r="AL30" s="73" t="s">
        <v>73</v>
      </c>
      <c r="AM30" s="73" t="s">
        <v>78</v>
      </c>
      <c r="AN30" s="73" t="s">
        <v>38</v>
      </c>
      <c r="AO30" s="73" t="s">
        <v>40</v>
      </c>
      <c r="AP30" s="73" t="s">
        <v>79</v>
      </c>
      <c r="AQ30" s="80" t="s">
        <v>70</v>
      </c>
    </row>
    <row r="31" spans="1:54" ht="15.6" x14ac:dyDescent="0.3">
      <c r="A31" s="113" t="s">
        <v>46</v>
      </c>
      <c r="B31" s="16"/>
      <c r="C31" s="16"/>
      <c r="D31" s="16"/>
      <c r="E31" s="16"/>
      <c r="F31" s="16"/>
      <c r="G31" s="16">
        <v>1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13">
        <f t="shared" ref="V31:V38" si="7">SUM(B31:U31)</f>
        <v>1</v>
      </c>
      <c r="W31" s="113"/>
      <c r="X31" s="113"/>
      <c r="Y31" s="113"/>
      <c r="Z31" s="113"/>
      <c r="AA31" s="113"/>
      <c r="AB31" s="113">
        <f>G31*100/$V$31</f>
        <v>100</v>
      </c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>
        <f t="shared" ref="AQ31:AQ52" si="8">SUM(W31:AP31)</f>
        <v>100</v>
      </c>
    </row>
    <row r="32" spans="1:54" ht="15.6" x14ac:dyDescent="0.3">
      <c r="A32" s="113" t="s">
        <v>47</v>
      </c>
      <c r="B32" s="16"/>
      <c r="C32" s="16"/>
      <c r="D32" s="16"/>
      <c r="E32" s="16"/>
      <c r="F32" s="16"/>
      <c r="G32" s="16">
        <v>1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13">
        <f t="shared" si="7"/>
        <v>1</v>
      </c>
      <c r="W32" s="113"/>
      <c r="X32" s="113"/>
      <c r="Y32" s="113"/>
      <c r="Z32" s="113"/>
      <c r="AA32" s="113"/>
      <c r="AB32" s="113">
        <f>G32*100/$V$32</f>
        <v>100</v>
      </c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>
        <f t="shared" si="8"/>
        <v>100</v>
      </c>
    </row>
    <row r="33" spans="1:43" ht="15.6" x14ac:dyDescent="0.3">
      <c r="A33" s="113" t="s">
        <v>49</v>
      </c>
      <c r="B33" s="16"/>
      <c r="C33" s="16"/>
      <c r="D33" s="16"/>
      <c r="E33" s="16"/>
      <c r="F33" s="16"/>
      <c r="G33" s="16">
        <v>1</v>
      </c>
      <c r="H33" s="16"/>
      <c r="I33" s="16"/>
      <c r="J33" s="16"/>
      <c r="K33" s="16">
        <v>1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13">
        <f t="shared" si="7"/>
        <v>2</v>
      </c>
      <c r="W33" s="113"/>
      <c r="X33" s="113"/>
      <c r="Y33" s="113"/>
      <c r="Z33" s="113"/>
      <c r="AA33" s="113"/>
      <c r="AB33" s="113">
        <f>G33*100/$V$33</f>
        <v>50</v>
      </c>
      <c r="AC33" s="113"/>
      <c r="AD33" s="113"/>
      <c r="AE33" s="113"/>
      <c r="AF33" s="113">
        <f>K33*100/$V$33</f>
        <v>50</v>
      </c>
      <c r="AG33" s="113"/>
      <c r="AH33" s="113"/>
      <c r="AI33" s="113"/>
      <c r="AJ33" s="113"/>
      <c r="AK33" s="16"/>
      <c r="AL33" s="16"/>
      <c r="AM33" s="16"/>
      <c r="AN33" s="16"/>
      <c r="AO33" s="16"/>
      <c r="AP33" s="16"/>
      <c r="AQ33" s="113">
        <f t="shared" si="8"/>
        <v>100</v>
      </c>
    </row>
    <row r="34" spans="1:43" ht="15.6" x14ac:dyDescent="0.3">
      <c r="A34" s="113" t="s">
        <v>50</v>
      </c>
      <c r="B34" s="16"/>
      <c r="C34" s="16"/>
      <c r="D34" s="16"/>
      <c r="E34" s="16"/>
      <c r="F34" s="16"/>
      <c r="G34" s="16"/>
      <c r="H34" s="16">
        <v>1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13">
        <f t="shared" si="7"/>
        <v>1</v>
      </c>
      <c r="W34" s="113"/>
      <c r="X34" s="113"/>
      <c r="Y34" s="113"/>
      <c r="Z34" s="113"/>
      <c r="AA34" s="113"/>
      <c r="AB34" s="113"/>
      <c r="AC34" s="113">
        <f>H34*100/$V$34</f>
        <v>100</v>
      </c>
      <c r="AD34" s="113"/>
      <c r="AE34" s="113"/>
      <c r="AF34" s="113"/>
      <c r="AG34" s="113"/>
      <c r="AH34" s="113"/>
      <c r="AI34" s="113"/>
      <c r="AJ34" s="113"/>
      <c r="AK34" s="16"/>
      <c r="AL34" s="16"/>
      <c r="AM34" s="16"/>
      <c r="AN34" s="16"/>
      <c r="AO34" s="16"/>
      <c r="AP34" s="16"/>
      <c r="AQ34" s="113">
        <f t="shared" si="8"/>
        <v>100</v>
      </c>
    </row>
    <row r="35" spans="1:43" ht="15.6" x14ac:dyDescent="0.3">
      <c r="A35" s="113" t="s">
        <v>51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>
        <v>1</v>
      </c>
      <c r="P35" s="16"/>
      <c r="Q35" s="16"/>
      <c r="R35" s="16"/>
      <c r="S35" s="16"/>
      <c r="T35" s="16"/>
      <c r="U35" s="16"/>
      <c r="V35" s="113">
        <f t="shared" si="7"/>
        <v>1</v>
      </c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>
        <f>O35*100/$V$35</f>
        <v>100</v>
      </c>
      <c r="AK35" s="16"/>
      <c r="AL35" s="16"/>
      <c r="AM35" s="16"/>
      <c r="AN35" s="16"/>
      <c r="AO35" s="16"/>
      <c r="AP35" s="16"/>
      <c r="AQ35" s="113">
        <f t="shared" si="8"/>
        <v>100</v>
      </c>
    </row>
    <row r="36" spans="1:43" ht="15.6" x14ac:dyDescent="0.3">
      <c r="A36" s="113" t="s">
        <v>52</v>
      </c>
      <c r="B36" s="16"/>
      <c r="C36" s="16"/>
      <c r="D36" s="16">
        <v>1</v>
      </c>
      <c r="E36" s="16"/>
      <c r="F36" s="16"/>
      <c r="G36" s="16"/>
      <c r="H36" s="16"/>
      <c r="I36" s="16"/>
      <c r="J36" s="16"/>
      <c r="K36" s="16">
        <v>1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13">
        <f t="shared" si="7"/>
        <v>2</v>
      </c>
      <c r="W36" s="113"/>
      <c r="X36" s="113"/>
      <c r="Y36" s="113">
        <f>D36*100/$V$36</f>
        <v>50</v>
      </c>
      <c r="Z36" s="113"/>
      <c r="AA36" s="113"/>
      <c r="AB36" s="113"/>
      <c r="AC36" s="113"/>
      <c r="AD36" s="113"/>
      <c r="AE36" s="113"/>
      <c r="AF36" s="113">
        <f>K36*100/$V$36</f>
        <v>50</v>
      </c>
      <c r="AG36" s="113"/>
      <c r="AH36" s="113"/>
      <c r="AI36" s="113"/>
      <c r="AJ36" s="113"/>
      <c r="AK36" s="16"/>
      <c r="AL36" s="16"/>
      <c r="AM36" s="16"/>
      <c r="AN36" s="16"/>
      <c r="AO36" s="16"/>
      <c r="AP36" s="16"/>
      <c r="AQ36" s="113">
        <f t="shared" si="8"/>
        <v>100</v>
      </c>
    </row>
    <row r="37" spans="1:43" ht="15.6" x14ac:dyDescent="0.3">
      <c r="A37" s="113" t="s">
        <v>53</v>
      </c>
      <c r="B37" s="16"/>
      <c r="C37" s="16"/>
      <c r="D37" s="16"/>
      <c r="E37" s="16">
        <v>1</v>
      </c>
      <c r="F37" s="16"/>
      <c r="G37" s="16"/>
      <c r="H37" s="16"/>
      <c r="I37" s="16"/>
      <c r="J37" s="16"/>
      <c r="K37" s="16">
        <v>2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13">
        <f t="shared" si="7"/>
        <v>3</v>
      </c>
      <c r="W37" s="113"/>
      <c r="X37" s="113"/>
      <c r="Y37" s="113"/>
      <c r="Z37" s="113">
        <f>E37*100/$V$37</f>
        <v>33.333333333333336</v>
      </c>
      <c r="AA37" s="113"/>
      <c r="AB37" s="113"/>
      <c r="AC37" s="113"/>
      <c r="AD37" s="113"/>
      <c r="AE37" s="113"/>
      <c r="AF37" s="113">
        <f>K37*100/$V$37</f>
        <v>66.666666666666671</v>
      </c>
      <c r="AG37" s="113"/>
      <c r="AH37" s="113"/>
      <c r="AI37" s="113"/>
      <c r="AJ37" s="113"/>
      <c r="AK37" s="113"/>
      <c r="AL37" s="16"/>
      <c r="AM37" s="16"/>
      <c r="AN37" s="16"/>
      <c r="AO37" s="16"/>
      <c r="AP37" s="16"/>
      <c r="AQ37" s="113">
        <f t="shared" si="8"/>
        <v>100</v>
      </c>
    </row>
    <row r="38" spans="1:43" ht="15.6" x14ac:dyDescent="0.3">
      <c r="A38" s="113" t="s">
        <v>54</v>
      </c>
      <c r="B38" s="16"/>
      <c r="C38" s="16"/>
      <c r="D38" s="16"/>
      <c r="E38" s="16"/>
      <c r="F38" s="16"/>
      <c r="G38" s="16"/>
      <c r="H38" s="16"/>
      <c r="I38" s="16">
        <v>1</v>
      </c>
      <c r="J38" s="16"/>
      <c r="K38" s="16">
        <v>1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13">
        <f t="shared" si="7"/>
        <v>2</v>
      </c>
      <c r="W38" s="113"/>
      <c r="X38" s="113"/>
      <c r="Y38" s="113"/>
      <c r="Z38" s="113"/>
      <c r="AA38" s="113"/>
      <c r="AB38" s="113"/>
      <c r="AC38" s="113"/>
      <c r="AD38" s="113">
        <f>I38*100/$V$38</f>
        <v>50</v>
      </c>
      <c r="AE38" s="113"/>
      <c r="AF38" s="113">
        <f>K38*100/$V$38</f>
        <v>50</v>
      </c>
      <c r="AG38" s="113"/>
      <c r="AH38" s="113"/>
      <c r="AI38" s="113"/>
      <c r="AJ38" s="113"/>
      <c r="AK38" s="16"/>
      <c r="AL38" s="16"/>
      <c r="AM38" s="16"/>
      <c r="AN38" s="16"/>
      <c r="AO38" s="16"/>
      <c r="AP38" s="16"/>
      <c r="AQ38" s="113">
        <f t="shared" si="8"/>
        <v>100</v>
      </c>
    </row>
    <row r="39" spans="1:43" ht="15.6" x14ac:dyDescent="0.3">
      <c r="A39" s="113" t="s">
        <v>55</v>
      </c>
      <c r="B39" s="113">
        <v>1</v>
      </c>
      <c r="C39" s="113"/>
      <c r="D39" s="113"/>
      <c r="E39" s="113"/>
      <c r="F39" s="113"/>
      <c r="G39" s="113">
        <v>1</v>
      </c>
      <c r="H39" s="113"/>
      <c r="I39" s="113"/>
      <c r="J39" s="113"/>
      <c r="K39" s="113"/>
      <c r="L39" s="113">
        <v>1</v>
      </c>
      <c r="M39" s="113"/>
      <c r="N39" s="113"/>
      <c r="O39" s="113"/>
      <c r="P39" s="113">
        <v>4</v>
      </c>
      <c r="Q39" s="82">
        <v>1</v>
      </c>
      <c r="R39" s="113"/>
      <c r="S39" s="113">
        <v>2</v>
      </c>
      <c r="T39" s="113"/>
      <c r="U39" s="81">
        <v>1</v>
      </c>
      <c r="V39" s="113">
        <f>SUM(B39:U39)</f>
        <v>11</v>
      </c>
      <c r="W39" s="113">
        <f>B39*100/$V$39</f>
        <v>9.0909090909090917</v>
      </c>
      <c r="X39" s="113"/>
      <c r="Y39" s="113"/>
      <c r="Z39" s="113"/>
      <c r="AA39" s="113"/>
      <c r="AB39" s="113">
        <f>G39*100/$V$39</f>
        <v>9.0909090909090917</v>
      </c>
      <c r="AC39" s="113"/>
      <c r="AD39" s="113"/>
      <c r="AE39" s="113"/>
      <c r="AF39" s="113"/>
      <c r="AG39" s="113">
        <f>L39*100/$V$39</f>
        <v>9.0909090909090917</v>
      </c>
      <c r="AH39" s="113"/>
      <c r="AI39" s="113"/>
      <c r="AJ39" s="113"/>
      <c r="AK39" s="113">
        <f>P39*100/$V$39</f>
        <v>36.363636363636367</v>
      </c>
      <c r="AL39" s="113">
        <f>Q39*100/$V$39</f>
        <v>9.0909090909090917</v>
      </c>
      <c r="AM39" s="113"/>
      <c r="AN39" s="113">
        <f>S39*100/$V$39</f>
        <v>18.181818181818183</v>
      </c>
      <c r="AO39" s="113"/>
      <c r="AP39" s="113">
        <f>U39*100/$V$39</f>
        <v>9.0909090909090917</v>
      </c>
      <c r="AQ39" s="113">
        <f t="shared" si="8"/>
        <v>100.00000000000001</v>
      </c>
    </row>
    <row r="40" spans="1:43" ht="15.6" x14ac:dyDescent="0.3">
      <c r="A40" s="113" t="s">
        <v>56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82">
        <v>1</v>
      </c>
      <c r="R40" s="113"/>
      <c r="S40" s="113"/>
      <c r="T40" s="113"/>
      <c r="U40" s="81">
        <v>1</v>
      </c>
      <c r="V40" s="113">
        <f t="shared" ref="V40:V52" si="9">SUM(B40:U40)</f>
        <v>2</v>
      </c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>
        <f>Q40*100/$V$40</f>
        <v>50</v>
      </c>
      <c r="AM40" s="113"/>
      <c r="AN40" s="113"/>
      <c r="AO40" s="113"/>
      <c r="AP40" s="113">
        <f>U40*100/$V$40</f>
        <v>50</v>
      </c>
      <c r="AQ40" s="113">
        <f t="shared" si="8"/>
        <v>100</v>
      </c>
    </row>
    <row r="41" spans="1:43" ht="15.6" x14ac:dyDescent="0.3">
      <c r="A41" s="113" t="s">
        <v>57</v>
      </c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82">
        <v>1</v>
      </c>
      <c r="M41" s="12"/>
      <c r="N41" s="12"/>
      <c r="O41" s="113"/>
      <c r="P41" s="113"/>
      <c r="Q41" s="82"/>
      <c r="R41" s="113"/>
      <c r="S41" s="113"/>
      <c r="T41" s="113"/>
      <c r="U41" s="81"/>
      <c r="V41" s="113">
        <f t="shared" si="9"/>
        <v>1</v>
      </c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>
        <f>L41*100/$V$41</f>
        <v>100</v>
      </c>
      <c r="AH41" s="113"/>
      <c r="AI41" s="113"/>
      <c r="AJ41" s="113"/>
      <c r="AK41" s="113"/>
      <c r="AL41" s="113"/>
      <c r="AM41" s="113"/>
      <c r="AN41" s="113"/>
      <c r="AO41" s="113"/>
      <c r="AP41" s="113"/>
      <c r="AQ41" s="113">
        <f t="shared" si="8"/>
        <v>100</v>
      </c>
    </row>
    <row r="42" spans="1:43" ht="15.6" x14ac:dyDescent="0.3">
      <c r="A42" s="113" t="s">
        <v>59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82"/>
      <c r="R42" s="113">
        <v>1</v>
      </c>
      <c r="S42" s="113"/>
      <c r="T42" s="113"/>
      <c r="U42" s="81">
        <v>1</v>
      </c>
      <c r="V42" s="113">
        <f t="shared" si="9"/>
        <v>2</v>
      </c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>
        <f>R42*100/$V$42</f>
        <v>50</v>
      </c>
      <c r="AN42" s="113"/>
      <c r="AO42" s="113"/>
      <c r="AP42" s="113">
        <f>U42*100/$V$42</f>
        <v>50</v>
      </c>
      <c r="AQ42" s="113">
        <f t="shared" si="8"/>
        <v>100</v>
      </c>
    </row>
    <row r="43" spans="1:43" ht="15.6" x14ac:dyDescent="0.3">
      <c r="A43" s="113" t="s">
        <v>60</v>
      </c>
      <c r="B43" s="113"/>
      <c r="C43" s="113"/>
      <c r="D43" s="113"/>
      <c r="E43" s="113"/>
      <c r="F43" s="113"/>
      <c r="G43" s="82">
        <v>1</v>
      </c>
      <c r="H43" s="82"/>
      <c r="I43" s="113"/>
      <c r="J43" s="113"/>
      <c r="K43" s="113"/>
      <c r="L43" s="113"/>
      <c r="M43" s="113"/>
      <c r="N43" s="113"/>
      <c r="O43" s="113"/>
      <c r="P43" s="113"/>
      <c r="Q43" s="82"/>
      <c r="R43" s="113"/>
      <c r="S43" s="113"/>
      <c r="T43" s="113"/>
      <c r="U43" s="81"/>
      <c r="V43" s="113">
        <f t="shared" si="9"/>
        <v>1</v>
      </c>
      <c r="W43" s="113"/>
      <c r="X43" s="113"/>
      <c r="Y43" s="113"/>
      <c r="Z43" s="113"/>
      <c r="AA43" s="113"/>
      <c r="AB43" s="113">
        <f>G43*100/$V$43</f>
        <v>100</v>
      </c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>
        <f t="shared" si="8"/>
        <v>100</v>
      </c>
    </row>
    <row r="44" spans="1:43" ht="15.6" x14ac:dyDescent="0.3">
      <c r="A44" s="113" t="s">
        <v>61</v>
      </c>
      <c r="B44" s="113"/>
      <c r="C44" s="113"/>
      <c r="D44" s="113"/>
      <c r="E44" s="113"/>
      <c r="F44" s="82">
        <v>2</v>
      </c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82"/>
      <c r="R44" s="113"/>
      <c r="S44" s="113"/>
      <c r="T44" s="113"/>
      <c r="U44" s="81"/>
      <c r="V44" s="113">
        <f t="shared" si="9"/>
        <v>2</v>
      </c>
      <c r="W44" s="113"/>
      <c r="X44" s="113"/>
      <c r="Y44" s="113"/>
      <c r="Z44" s="113"/>
      <c r="AA44" s="113">
        <f>F44*100/$V$44</f>
        <v>100</v>
      </c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>
        <f t="shared" si="8"/>
        <v>100</v>
      </c>
    </row>
    <row r="45" spans="1:43" ht="15.6" x14ac:dyDescent="0.3">
      <c r="A45" s="113" t="s">
        <v>62</v>
      </c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82"/>
      <c r="R45" s="113"/>
      <c r="S45" s="113"/>
      <c r="T45" s="113"/>
      <c r="U45" s="81">
        <v>1</v>
      </c>
      <c r="V45" s="113">
        <f t="shared" si="9"/>
        <v>1</v>
      </c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>
        <f>U45*100/$V$45</f>
        <v>100</v>
      </c>
      <c r="AQ45" s="113">
        <f t="shared" si="8"/>
        <v>100</v>
      </c>
    </row>
    <row r="46" spans="1:43" ht="15.6" x14ac:dyDescent="0.3">
      <c r="A46" s="113" t="s">
        <v>63</v>
      </c>
      <c r="B46" s="113"/>
      <c r="C46" s="113"/>
      <c r="D46" s="113"/>
      <c r="E46" s="113"/>
      <c r="F46" s="113"/>
      <c r="G46" s="113">
        <v>1</v>
      </c>
      <c r="H46" s="113"/>
      <c r="I46" s="113"/>
      <c r="J46" s="113"/>
      <c r="K46" s="113"/>
      <c r="L46" s="113"/>
      <c r="M46" s="113"/>
      <c r="N46" s="113">
        <v>1</v>
      </c>
      <c r="O46" s="113"/>
      <c r="P46" s="113"/>
      <c r="Q46" s="82"/>
      <c r="R46" s="113"/>
      <c r="S46" s="113"/>
      <c r="T46" s="113"/>
      <c r="U46" s="81"/>
      <c r="V46" s="113">
        <f t="shared" si="9"/>
        <v>2</v>
      </c>
      <c r="W46" s="113"/>
      <c r="X46" s="113"/>
      <c r="Y46" s="113"/>
      <c r="Z46" s="113"/>
      <c r="AA46" s="113"/>
      <c r="AB46" s="113">
        <f>G46*100/$V$46</f>
        <v>50</v>
      </c>
      <c r="AC46" s="113"/>
      <c r="AD46" s="113"/>
      <c r="AE46" s="113"/>
      <c r="AF46" s="113"/>
      <c r="AG46" s="113"/>
      <c r="AH46" s="113"/>
      <c r="AI46" s="113">
        <f>N46*100/$V$46</f>
        <v>50</v>
      </c>
      <c r="AJ46" s="113"/>
      <c r="AK46" s="113"/>
      <c r="AL46" s="113"/>
      <c r="AM46" s="113"/>
      <c r="AN46" s="113"/>
      <c r="AO46" s="113"/>
      <c r="AP46" s="113"/>
      <c r="AQ46" s="113">
        <f t="shared" si="8"/>
        <v>100</v>
      </c>
    </row>
    <row r="47" spans="1:43" ht="15.6" x14ac:dyDescent="0.3">
      <c r="A47" s="113" t="s">
        <v>64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82">
        <v>1</v>
      </c>
      <c r="N47" s="113"/>
      <c r="O47" s="113"/>
      <c r="P47" s="113"/>
      <c r="Q47" s="82"/>
      <c r="R47" s="113"/>
      <c r="S47" s="113"/>
      <c r="T47" s="113"/>
      <c r="U47" s="81"/>
      <c r="V47" s="113">
        <f t="shared" si="9"/>
        <v>1</v>
      </c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>
        <f>M47*100/$V$47</f>
        <v>100</v>
      </c>
      <c r="AI47" s="113"/>
      <c r="AJ47" s="113"/>
      <c r="AK47" s="113"/>
      <c r="AL47" s="113"/>
      <c r="AM47" s="113"/>
      <c r="AN47" s="113"/>
      <c r="AO47" s="113"/>
      <c r="AP47" s="113"/>
      <c r="AQ47" s="113">
        <f t="shared" si="8"/>
        <v>100</v>
      </c>
    </row>
    <row r="48" spans="1:43" ht="15.6" x14ac:dyDescent="0.3">
      <c r="A48" s="113" t="s">
        <v>65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82">
        <v>1</v>
      </c>
      <c r="R48" s="113"/>
      <c r="S48" s="113"/>
      <c r="T48" s="113"/>
      <c r="U48" s="81"/>
      <c r="V48" s="113">
        <f t="shared" si="9"/>
        <v>1</v>
      </c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>
        <f>Q48*100/$V$48</f>
        <v>100</v>
      </c>
      <c r="AM48" s="113"/>
      <c r="AN48" s="113"/>
      <c r="AO48" s="113"/>
      <c r="AP48" s="113"/>
      <c r="AQ48" s="113">
        <f t="shared" si="8"/>
        <v>100</v>
      </c>
    </row>
    <row r="49" spans="1:43" ht="15.6" x14ac:dyDescent="0.3">
      <c r="A49" s="113" t="s">
        <v>66</v>
      </c>
      <c r="B49" s="113"/>
      <c r="C49" s="113"/>
      <c r="D49" s="82">
        <v>1</v>
      </c>
      <c r="E49" s="82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82">
        <v>1</v>
      </c>
      <c r="R49" s="82">
        <v>1</v>
      </c>
      <c r="S49" s="113"/>
      <c r="T49" s="113"/>
      <c r="U49" s="81"/>
      <c r="V49" s="113">
        <f t="shared" si="9"/>
        <v>3</v>
      </c>
      <c r="W49" s="113"/>
      <c r="X49" s="113"/>
      <c r="Y49" s="113">
        <f>D49*100/$V$49</f>
        <v>33.333333333333336</v>
      </c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>
        <f>Q49*100/$V$49</f>
        <v>33.333333333333336</v>
      </c>
      <c r="AM49" s="113">
        <f>R49*100/$V$49</f>
        <v>33.333333333333336</v>
      </c>
      <c r="AN49" s="113"/>
      <c r="AO49" s="113"/>
      <c r="AP49" s="113"/>
      <c r="AQ49" s="113">
        <f t="shared" si="8"/>
        <v>100</v>
      </c>
    </row>
    <row r="50" spans="1:43" ht="15.6" x14ac:dyDescent="0.3">
      <c r="A50" s="113" t="s">
        <v>67</v>
      </c>
      <c r="B50" s="113"/>
      <c r="C50" s="82">
        <v>1</v>
      </c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82">
        <v>1</v>
      </c>
      <c r="R50" s="113"/>
      <c r="S50" s="113"/>
      <c r="T50" s="113">
        <v>1</v>
      </c>
      <c r="U50" s="81"/>
      <c r="V50" s="113">
        <f t="shared" si="9"/>
        <v>3</v>
      </c>
      <c r="W50" s="113"/>
      <c r="X50" s="113">
        <f>C50*100/$V$50</f>
        <v>33.333333333333336</v>
      </c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>
        <f>Q50*100/$V$50</f>
        <v>33.333333333333336</v>
      </c>
      <c r="AM50" s="113"/>
      <c r="AN50" s="113"/>
      <c r="AO50" s="113">
        <f>T50*100/$V$50</f>
        <v>33.333333333333336</v>
      </c>
      <c r="AP50" s="113"/>
      <c r="AQ50" s="113">
        <f t="shared" si="8"/>
        <v>100</v>
      </c>
    </row>
    <row r="51" spans="1:43" ht="15.6" x14ac:dyDescent="0.3">
      <c r="A51" s="113" t="s">
        <v>68</v>
      </c>
      <c r="B51" s="113">
        <v>1</v>
      </c>
      <c r="C51" s="113"/>
      <c r="D51" s="113"/>
      <c r="E51" s="113"/>
      <c r="F51" s="113"/>
      <c r="G51" s="113">
        <v>1</v>
      </c>
      <c r="H51" s="113"/>
      <c r="I51" s="113"/>
      <c r="J51" s="113">
        <v>1</v>
      </c>
      <c r="K51" s="113"/>
      <c r="L51" s="113"/>
      <c r="M51" s="113"/>
      <c r="N51" s="113"/>
      <c r="O51" s="113"/>
      <c r="P51" s="113"/>
      <c r="Q51" s="113"/>
      <c r="R51" s="113"/>
      <c r="S51" s="113"/>
      <c r="T51" s="82">
        <v>1</v>
      </c>
      <c r="U51" s="81"/>
      <c r="V51" s="113">
        <f t="shared" si="9"/>
        <v>4</v>
      </c>
      <c r="W51" s="113">
        <f>B51*100/$V$51</f>
        <v>25</v>
      </c>
      <c r="X51" s="113"/>
      <c r="Y51" s="113"/>
      <c r="Z51" s="113"/>
      <c r="AA51" s="113"/>
      <c r="AB51" s="113">
        <f>G51*100/$V$51</f>
        <v>25</v>
      </c>
      <c r="AC51" s="113"/>
      <c r="AD51" s="113"/>
      <c r="AE51" s="113">
        <f>J51*100/$V$51</f>
        <v>25</v>
      </c>
      <c r="AF51" s="113"/>
      <c r="AG51" s="113"/>
      <c r="AH51" s="113"/>
      <c r="AI51" s="113"/>
      <c r="AJ51" s="113"/>
      <c r="AK51" s="113"/>
      <c r="AL51" s="113"/>
      <c r="AM51" s="113"/>
      <c r="AN51" s="113"/>
      <c r="AO51" s="113">
        <f>T51*100/$V$51</f>
        <v>25</v>
      </c>
      <c r="AP51" s="113"/>
      <c r="AQ51" s="113">
        <f t="shared" si="8"/>
        <v>100</v>
      </c>
    </row>
    <row r="52" spans="1:43" ht="15.6" x14ac:dyDescent="0.3">
      <c r="A52" s="113" t="s">
        <v>69</v>
      </c>
      <c r="B52" s="113"/>
      <c r="C52" s="113"/>
      <c r="D52" s="113"/>
      <c r="E52" s="113"/>
      <c r="F52" s="113"/>
      <c r="G52" s="113"/>
      <c r="H52" s="113"/>
      <c r="I52" s="82">
        <v>1</v>
      </c>
      <c r="J52" s="113"/>
      <c r="K52" s="113"/>
      <c r="L52" s="113"/>
      <c r="M52" s="113"/>
      <c r="N52" s="113"/>
      <c r="O52" s="82">
        <v>1</v>
      </c>
      <c r="P52" s="113"/>
      <c r="Q52" s="113"/>
      <c r="R52" s="113"/>
      <c r="S52" s="113"/>
      <c r="T52" s="113"/>
      <c r="U52" s="81"/>
      <c r="V52" s="113">
        <f t="shared" si="9"/>
        <v>2</v>
      </c>
      <c r="W52" s="113"/>
      <c r="X52" s="113"/>
      <c r="Y52" s="113"/>
      <c r="Z52" s="113"/>
      <c r="AA52" s="113"/>
      <c r="AB52" s="113"/>
      <c r="AC52" s="113"/>
      <c r="AD52" s="113">
        <f>I52*100/$V$52</f>
        <v>50</v>
      </c>
      <c r="AE52" s="113"/>
      <c r="AF52" s="113"/>
      <c r="AG52" s="113"/>
      <c r="AH52" s="113"/>
      <c r="AI52" s="113"/>
      <c r="AJ52" s="113">
        <f>O52*100/$V$52</f>
        <v>50</v>
      </c>
      <c r="AK52" s="113"/>
      <c r="AL52" s="113"/>
      <c r="AM52" s="113"/>
      <c r="AN52" s="113"/>
      <c r="AO52" s="113"/>
      <c r="AP52" s="113"/>
      <c r="AQ52" s="113">
        <f t="shared" si="8"/>
        <v>100</v>
      </c>
    </row>
    <row r="53" spans="1:43" ht="15.6" x14ac:dyDescent="0.3">
      <c r="A53" s="83" t="s">
        <v>87</v>
      </c>
      <c r="B53" s="79">
        <f>SUM(B31:B52)</f>
        <v>2</v>
      </c>
      <c r="C53" s="79">
        <f t="shared" ref="C53:L53" si="10">SUM(C31:C52)</f>
        <v>1</v>
      </c>
      <c r="D53" s="79">
        <f t="shared" si="10"/>
        <v>2</v>
      </c>
      <c r="E53" s="79">
        <f t="shared" si="10"/>
        <v>1</v>
      </c>
      <c r="F53" s="79">
        <f t="shared" si="10"/>
        <v>2</v>
      </c>
      <c r="G53" s="79">
        <f t="shared" si="10"/>
        <v>7</v>
      </c>
      <c r="H53" s="79">
        <f t="shared" si="10"/>
        <v>1</v>
      </c>
      <c r="I53" s="79">
        <f t="shared" si="10"/>
        <v>2</v>
      </c>
      <c r="J53" s="79">
        <f t="shared" si="10"/>
        <v>1</v>
      </c>
      <c r="K53" s="79">
        <f t="shared" si="10"/>
        <v>5</v>
      </c>
      <c r="L53" s="79">
        <f t="shared" si="10"/>
        <v>2</v>
      </c>
      <c r="M53" s="79">
        <f t="shared" ref="M53:U53" si="11">SUM(M31:M52)</f>
        <v>1</v>
      </c>
      <c r="N53" s="79">
        <f t="shared" si="11"/>
        <v>1</v>
      </c>
      <c r="O53" s="79">
        <f t="shared" si="11"/>
        <v>2</v>
      </c>
      <c r="P53" s="79">
        <f t="shared" si="11"/>
        <v>4</v>
      </c>
      <c r="Q53" s="79">
        <f t="shared" si="11"/>
        <v>5</v>
      </c>
      <c r="R53" s="79">
        <f t="shared" si="11"/>
        <v>2</v>
      </c>
      <c r="S53" s="79">
        <f t="shared" si="11"/>
        <v>2</v>
      </c>
      <c r="T53" s="79">
        <f t="shared" si="11"/>
        <v>2</v>
      </c>
      <c r="U53" s="79">
        <f t="shared" si="11"/>
        <v>4</v>
      </c>
      <c r="V53" s="89" t="s">
        <v>76</v>
      </c>
      <c r="W53" s="38">
        <f>AVERAGE(W31:W52)</f>
        <v>17.045454545454547</v>
      </c>
      <c r="X53" s="38">
        <f t="shared" ref="X53:AF53" si="12">AVERAGE(X31:X52)</f>
        <v>33.333333333333336</v>
      </c>
      <c r="Y53" s="38">
        <f t="shared" si="12"/>
        <v>41.666666666666671</v>
      </c>
      <c r="Z53" s="38">
        <f t="shared" si="12"/>
        <v>33.333333333333336</v>
      </c>
      <c r="AA53" s="38">
        <f t="shared" si="12"/>
        <v>100</v>
      </c>
      <c r="AB53" s="38">
        <f t="shared" si="12"/>
        <v>62.012987012987011</v>
      </c>
      <c r="AC53" s="38">
        <f t="shared" si="12"/>
        <v>100</v>
      </c>
      <c r="AD53" s="38">
        <f t="shared" si="12"/>
        <v>50</v>
      </c>
      <c r="AE53" s="38">
        <f t="shared" si="12"/>
        <v>25</v>
      </c>
      <c r="AF53" s="38">
        <f t="shared" si="12"/>
        <v>54.166666666666671</v>
      </c>
      <c r="AG53" s="38">
        <f t="shared" ref="AG53:AP53" si="13">AVERAGE(AG31:AG52)</f>
        <v>54.545454545454547</v>
      </c>
      <c r="AH53" s="38">
        <f t="shared" si="13"/>
        <v>100</v>
      </c>
      <c r="AI53" s="38">
        <f t="shared" si="13"/>
        <v>50</v>
      </c>
      <c r="AJ53" s="38">
        <f t="shared" si="13"/>
        <v>75</v>
      </c>
      <c r="AK53" s="38">
        <f t="shared" si="13"/>
        <v>36.363636363636367</v>
      </c>
      <c r="AL53" s="38">
        <f t="shared" si="13"/>
        <v>45.151515151515156</v>
      </c>
      <c r="AM53" s="38">
        <f t="shared" si="13"/>
        <v>41.666666666666671</v>
      </c>
      <c r="AN53" s="38">
        <f t="shared" si="13"/>
        <v>18.181818181818183</v>
      </c>
      <c r="AO53" s="38">
        <f t="shared" si="13"/>
        <v>29.166666666666668</v>
      </c>
      <c r="AP53" s="38">
        <f t="shared" si="13"/>
        <v>52.272727272727273</v>
      </c>
      <c r="AQ53" s="113"/>
    </row>
    <row r="54" spans="1:43" ht="15.6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</row>
    <row r="55" spans="1:43" x14ac:dyDescent="0.3"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</row>
    <row r="56" spans="1:43" x14ac:dyDescent="0.3">
      <c r="V56" s="30"/>
      <c r="W56" s="30">
        <f>AVERAGE(W31:AA52)</f>
        <v>40.584415584415588</v>
      </c>
      <c r="X56" s="30"/>
      <c r="Y56" s="30"/>
      <c r="Z56" s="30"/>
      <c r="AA56" s="30"/>
      <c r="AB56" s="30">
        <f>AVERAGE(AB31:AC52)</f>
        <v>66.761363636363626</v>
      </c>
      <c r="AC56" s="30"/>
      <c r="AD56" s="30">
        <f>AVERAGE(AD31:AD52,AM31:AO52)</f>
        <v>37.121212121212125</v>
      </c>
      <c r="AE56" s="30">
        <f>AVERAGE(AE31:AL52)</f>
        <v>53.698752228163997</v>
      </c>
      <c r="AF56" s="30">
        <f>AVERAGE(AF31:AK52)</f>
        <v>60.192837465564736</v>
      </c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</row>
    <row r="57" spans="1:43" x14ac:dyDescent="0.3"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</row>
  </sheetData>
  <mergeCells count="5">
    <mergeCell ref="AT1:AU1"/>
    <mergeCell ref="AX1:AY1"/>
    <mergeCell ref="W26:AD26"/>
    <mergeCell ref="A28:G28"/>
    <mergeCell ref="AV1:AW1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26B4-CCF4-46F0-956B-8E5E46A657D0}">
  <dimension ref="A1:U23"/>
  <sheetViews>
    <sheetView workbookViewId="0">
      <selection activeCell="E29" sqref="E29"/>
    </sheetView>
  </sheetViews>
  <sheetFormatPr defaultRowHeight="14.4" x14ac:dyDescent="0.3"/>
  <cols>
    <col min="1" max="1" width="10.88671875" bestFit="1" customWidth="1"/>
    <col min="2" max="2" width="12.44140625" bestFit="1" customWidth="1"/>
    <col min="3" max="3" width="10.33203125" bestFit="1" customWidth="1"/>
    <col min="4" max="4" width="9" bestFit="1" customWidth="1"/>
    <col min="5" max="5" width="8.6640625" bestFit="1" customWidth="1"/>
    <col min="6" max="6" width="13.44140625" bestFit="1" customWidth="1"/>
    <col min="7" max="7" width="11.44140625" bestFit="1" customWidth="1"/>
    <col min="8" max="8" width="12.88671875" bestFit="1" customWidth="1"/>
    <col min="9" max="9" width="11" bestFit="1" customWidth="1"/>
    <col min="10" max="10" width="7.6640625" bestFit="1" customWidth="1"/>
    <col min="11" max="11" width="9.33203125" bestFit="1" customWidth="1"/>
    <col min="12" max="12" width="8.33203125" bestFit="1" customWidth="1"/>
    <col min="13" max="13" width="7.44140625" bestFit="1" customWidth="1"/>
    <col min="14" max="14" width="9.21875" bestFit="1" customWidth="1"/>
    <col min="15" max="15" width="5.109375" bestFit="1" customWidth="1"/>
    <col min="16" max="16" width="8.33203125" bestFit="1" customWidth="1"/>
    <col min="17" max="17" width="14.44140625" bestFit="1" customWidth="1"/>
    <col min="18" max="18" width="9" bestFit="1" customWidth="1"/>
    <col min="19" max="19" width="10.77734375" bestFit="1" customWidth="1"/>
    <col min="21" max="21" width="7.44140625" bestFit="1" customWidth="1"/>
  </cols>
  <sheetData>
    <row r="1" spans="1:21" ht="15.6" x14ac:dyDescent="0.3">
      <c r="A1" s="9" t="s">
        <v>3</v>
      </c>
      <c r="B1" s="9" t="s">
        <v>146</v>
      </c>
      <c r="C1" s="9" t="s">
        <v>147</v>
      </c>
      <c r="D1" s="9" t="s">
        <v>77</v>
      </c>
      <c r="E1" s="9" t="s">
        <v>10</v>
      </c>
      <c r="F1" s="9" t="s">
        <v>12</v>
      </c>
      <c r="G1" s="9" t="s">
        <v>14</v>
      </c>
      <c r="H1" s="9" t="s">
        <v>16</v>
      </c>
      <c r="I1" s="9" t="s">
        <v>18</v>
      </c>
      <c r="J1" s="9" t="s">
        <v>20</v>
      </c>
      <c r="K1" s="9" t="s">
        <v>22</v>
      </c>
      <c r="L1" s="9" t="s">
        <v>24</v>
      </c>
      <c r="M1" s="9" t="s">
        <v>26</v>
      </c>
      <c r="N1" s="9" t="s">
        <v>28</v>
      </c>
      <c r="O1" s="9" t="s">
        <v>30</v>
      </c>
      <c r="P1" s="9" t="s">
        <v>145</v>
      </c>
      <c r="Q1" s="9" t="s">
        <v>144</v>
      </c>
      <c r="R1" s="9" t="s">
        <v>36</v>
      </c>
      <c r="S1" s="9" t="s">
        <v>38</v>
      </c>
      <c r="T1" s="9" t="s">
        <v>40</v>
      </c>
      <c r="U1" s="87" t="s">
        <v>143</v>
      </c>
    </row>
    <row r="2" spans="1:21" ht="15.6" x14ac:dyDescent="0.3">
      <c r="A2" s="121" t="s">
        <v>46</v>
      </c>
      <c r="B2" s="16"/>
      <c r="C2" s="16"/>
      <c r="D2" s="16"/>
      <c r="E2" s="16"/>
      <c r="F2" s="16"/>
      <c r="G2" s="16">
        <v>1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15.6" x14ac:dyDescent="0.3">
      <c r="A3" s="121" t="s">
        <v>47</v>
      </c>
      <c r="B3" s="16"/>
      <c r="C3" s="16"/>
      <c r="D3" s="16"/>
      <c r="E3" s="16"/>
      <c r="F3" s="16"/>
      <c r="G3" s="16">
        <v>1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15.6" x14ac:dyDescent="0.3">
      <c r="A4" s="121" t="s">
        <v>49</v>
      </c>
      <c r="B4" s="16"/>
      <c r="C4" s="16"/>
      <c r="D4" s="16"/>
      <c r="E4" s="16"/>
      <c r="F4" s="16"/>
      <c r="G4" s="16">
        <v>1</v>
      </c>
      <c r="H4" s="16"/>
      <c r="I4" s="16"/>
      <c r="J4" s="16"/>
      <c r="K4" s="16">
        <v>1</v>
      </c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15.6" x14ac:dyDescent="0.3">
      <c r="A5" s="121" t="s">
        <v>50</v>
      </c>
      <c r="B5" s="16"/>
      <c r="C5" s="16"/>
      <c r="D5" s="16"/>
      <c r="E5" s="16"/>
      <c r="F5" s="16"/>
      <c r="G5" s="16"/>
      <c r="H5" s="16">
        <v>1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15.6" x14ac:dyDescent="0.3">
      <c r="A6" s="121" t="s">
        <v>51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>
        <v>1</v>
      </c>
      <c r="P6" s="16"/>
      <c r="Q6" s="16"/>
      <c r="R6" s="16"/>
      <c r="S6" s="16"/>
      <c r="T6" s="16"/>
      <c r="U6" s="16"/>
    </row>
    <row r="7" spans="1:21" ht="15.6" x14ac:dyDescent="0.3">
      <c r="A7" s="121" t="s">
        <v>52</v>
      </c>
      <c r="B7" s="16"/>
      <c r="C7" s="16"/>
      <c r="D7" s="16">
        <v>1</v>
      </c>
      <c r="E7" s="16"/>
      <c r="F7" s="16"/>
      <c r="G7" s="16"/>
      <c r="H7" s="16"/>
      <c r="I7" s="16"/>
      <c r="J7" s="16"/>
      <c r="K7" s="16">
        <v>1</v>
      </c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15.6" x14ac:dyDescent="0.3">
      <c r="A8" s="121" t="s">
        <v>53</v>
      </c>
      <c r="B8" s="16"/>
      <c r="C8" s="16"/>
      <c r="D8" s="16"/>
      <c r="E8" s="16">
        <v>1</v>
      </c>
      <c r="F8" s="16"/>
      <c r="G8" s="16"/>
      <c r="H8" s="16"/>
      <c r="I8" s="16"/>
      <c r="J8" s="16"/>
      <c r="K8" s="16">
        <v>2</v>
      </c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15.6" x14ac:dyDescent="0.3">
      <c r="A9" s="121" t="s">
        <v>54</v>
      </c>
      <c r="B9" s="16"/>
      <c r="C9" s="16"/>
      <c r="D9" s="16"/>
      <c r="E9" s="16"/>
      <c r="F9" s="16"/>
      <c r="G9" s="16"/>
      <c r="H9" s="16"/>
      <c r="I9" s="16">
        <v>1</v>
      </c>
      <c r="J9" s="16"/>
      <c r="K9" s="16">
        <v>1</v>
      </c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15.6" x14ac:dyDescent="0.3">
      <c r="A10" s="121" t="s">
        <v>55</v>
      </c>
      <c r="B10" s="121">
        <v>1</v>
      </c>
      <c r="C10" s="121"/>
      <c r="D10" s="121"/>
      <c r="E10" s="121"/>
      <c r="F10" s="121"/>
      <c r="G10" s="121">
        <v>1</v>
      </c>
      <c r="H10" s="121"/>
      <c r="I10" s="121"/>
      <c r="J10" s="121"/>
      <c r="K10" s="121"/>
      <c r="L10" s="121">
        <v>1</v>
      </c>
      <c r="M10" s="121"/>
      <c r="N10" s="121"/>
      <c r="O10" s="121"/>
      <c r="P10" s="121">
        <v>4</v>
      </c>
      <c r="Q10" s="82">
        <v>1</v>
      </c>
      <c r="R10" s="121"/>
      <c r="S10" s="121">
        <v>2</v>
      </c>
      <c r="T10" s="121"/>
      <c r="U10" s="81">
        <v>1</v>
      </c>
    </row>
    <row r="11" spans="1:21" ht="15.6" x14ac:dyDescent="0.3">
      <c r="A11" s="121" t="s">
        <v>56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82">
        <v>1</v>
      </c>
      <c r="R11" s="121"/>
      <c r="S11" s="121"/>
      <c r="T11" s="121"/>
      <c r="U11" s="81">
        <v>1</v>
      </c>
    </row>
    <row r="12" spans="1:21" ht="15.6" x14ac:dyDescent="0.3">
      <c r="A12" s="121" t="s">
        <v>57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82">
        <v>1</v>
      </c>
      <c r="M12" s="12"/>
      <c r="N12" s="12"/>
      <c r="O12" s="121"/>
      <c r="P12" s="121"/>
      <c r="Q12" s="82"/>
      <c r="R12" s="121"/>
      <c r="S12" s="121"/>
      <c r="T12" s="121"/>
      <c r="U12" s="81"/>
    </row>
    <row r="13" spans="1:21" ht="15.6" x14ac:dyDescent="0.3">
      <c r="A13" s="121" t="s">
        <v>59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82"/>
      <c r="R13" s="121">
        <v>1</v>
      </c>
      <c r="S13" s="121"/>
      <c r="T13" s="121"/>
      <c r="U13" s="81">
        <v>1</v>
      </c>
    </row>
    <row r="14" spans="1:21" ht="15.6" x14ac:dyDescent="0.3">
      <c r="A14" s="121" t="s">
        <v>60</v>
      </c>
      <c r="B14" s="121"/>
      <c r="C14" s="121"/>
      <c r="D14" s="121"/>
      <c r="E14" s="121"/>
      <c r="F14" s="121"/>
      <c r="G14" s="82">
        <v>1</v>
      </c>
      <c r="H14" s="82"/>
      <c r="I14" s="121"/>
      <c r="J14" s="121"/>
      <c r="K14" s="121"/>
      <c r="L14" s="121"/>
      <c r="M14" s="121"/>
      <c r="N14" s="121"/>
      <c r="O14" s="121"/>
      <c r="P14" s="121"/>
      <c r="Q14" s="82"/>
      <c r="R14" s="121"/>
      <c r="S14" s="121"/>
      <c r="T14" s="121"/>
      <c r="U14" s="81"/>
    </row>
    <row r="15" spans="1:21" ht="15.6" x14ac:dyDescent="0.3">
      <c r="A15" s="121" t="s">
        <v>61</v>
      </c>
      <c r="B15" s="121"/>
      <c r="C15" s="121"/>
      <c r="D15" s="121"/>
      <c r="E15" s="121"/>
      <c r="F15" s="82">
        <v>2</v>
      </c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82"/>
      <c r="R15" s="121"/>
      <c r="S15" s="121"/>
      <c r="T15" s="121"/>
      <c r="U15" s="81"/>
    </row>
    <row r="16" spans="1:21" ht="15.6" x14ac:dyDescent="0.3">
      <c r="A16" s="121" t="s">
        <v>62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82"/>
      <c r="R16" s="121"/>
      <c r="S16" s="121"/>
      <c r="T16" s="121"/>
      <c r="U16" s="81">
        <v>1</v>
      </c>
    </row>
    <row r="17" spans="1:21" ht="15.6" x14ac:dyDescent="0.3">
      <c r="A17" s="121" t="s">
        <v>63</v>
      </c>
      <c r="B17" s="121"/>
      <c r="C17" s="121"/>
      <c r="D17" s="121"/>
      <c r="E17" s="121"/>
      <c r="F17" s="121"/>
      <c r="G17" s="121">
        <v>1</v>
      </c>
      <c r="H17" s="121"/>
      <c r="I17" s="121"/>
      <c r="J17" s="121"/>
      <c r="K17" s="121"/>
      <c r="L17" s="121"/>
      <c r="M17" s="121"/>
      <c r="N17" s="121">
        <v>1</v>
      </c>
      <c r="O17" s="121"/>
      <c r="P17" s="121"/>
      <c r="Q17" s="82"/>
      <c r="R17" s="121"/>
      <c r="S17" s="121"/>
      <c r="T17" s="121"/>
      <c r="U17" s="81"/>
    </row>
    <row r="18" spans="1:21" ht="15.6" x14ac:dyDescent="0.3">
      <c r="A18" s="121" t="s">
        <v>64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82">
        <v>1</v>
      </c>
      <c r="N18" s="121"/>
      <c r="O18" s="121"/>
      <c r="P18" s="121"/>
      <c r="Q18" s="82"/>
      <c r="R18" s="121"/>
      <c r="S18" s="121"/>
      <c r="T18" s="121"/>
      <c r="U18" s="81"/>
    </row>
    <row r="19" spans="1:21" ht="15.6" x14ac:dyDescent="0.3">
      <c r="A19" s="121" t="s">
        <v>65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82">
        <v>1</v>
      </c>
      <c r="R19" s="121"/>
      <c r="S19" s="121"/>
      <c r="T19" s="121"/>
      <c r="U19" s="81"/>
    </row>
    <row r="20" spans="1:21" ht="15.6" x14ac:dyDescent="0.3">
      <c r="A20" s="121" t="s">
        <v>66</v>
      </c>
      <c r="B20" s="121"/>
      <c r="C20" s="121"/>
      <c r="D20" s="82">
        <v>1</v>
      </c>
      <c r="E20" s="82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82">
        <v>1</v>
      </c>
      <c r="R20" s="82">
        <v>1</v>
      </c>
      <c r="S20" s="121"/>
      <c r="T20" s="121"/>
      <c r="U20" s="81"/>
    </row>
    <row r="21" spans="1:21" ht="15.6" x14ac:dyDescent="0.3">
      <c r="A21" s="121" t="s">
        <v>67</v>
      </c>
      <c r="B21" s="121"/>
      <c r="C21" s="82">
        <v>1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82">
        <v>1</v>
      </c>
      <c r="R21" s="121"/>
      <c r="S21" s="121"/>
      <c r="T21" s="121">
        <v>1</v>
      </c>
      <c r="U21" s="81"/>
    </row>
    <row r="22" spans="1:21" ht="15.6" x14ac:dyDescent="0.3">
      <c r="A22" s="121" t="s">
        <v>68</v>
      </c>
      <c r="B22" s="121">
        <v>1</v>
      </c>
      <c r="C22" s="121"/>
      <c r="D22" s="121"/>
      <c r="E22" s="121"/>
      <c r="F22" s="121"/>
      <c r="G22" s="121">
        <v>1</v>
      </c>
      <c r="H22" s="121"/>
      <c r="I22" s="121"/>
      <c r="J22" s="121">
        <v>1</v>
      </c>
      <c r="K22" s="121"/>
      <c r="L22" s="121"/>
      <c r="M22" s="121"/>
      <c r="N22" s="121"/>
      <c r="O22" s="121"/>
      <c r="P22" s="121"/>
      <c r="Q22" s="121"/>
      <c r="R22" s="121"/>
      <c r="S22" s="121"/>
      <c r="T22" s="82">
        <v>1</v>
      </c>
      <c r="U22" s="81"/>
    </row>
    <row r="23" spans="1:21" ht="15.6" x14ac:dyDescent="0.3">
      <c r="A23" s="121" t="s">
        <v>69</v>
      </c>
      <c r="B23" s="121"/>
      <c r="C23" s="121"/>
      <c r="D23" s="121"/>
      <c r="E23" s="121"/>
      <c r="F23" s="121"/>
      <c r="G23" s="121"/>
      <c r="H23" s="121"/>
      <c r="I23" s="82">
        <v>1</v>
      </c>
      <c r="J23" s="121"/>
      <c r="K23" s="121"/>
      <c r="L23" s="121"/>
      <c r="M23" s="121"/>
      <c r="N23" s="121"/>
      <c r="O23" s="82">
        <v>1</v>
      </c>
      <c r="P23" s="121"/>
      <c r="Q23" s="121"/>
      <c r="R23" s="121"/>
      <c r="S23" s="121"/>
      <c r="T23" s="121"/>
      <c r="U23" s="8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showGridLines="0" topLeftCell="A8" zoomScale="90" zoomScaleNormal="90" workbookViewId="0">
      <selection activeCell="H29" sqref="H29"/>
    </sheetView>
  </sheetViews>
  <sheetFormatPr defaultRowHeight="14.4" x14ac:dyDescent="0.3"/>
  <cols>
    <col min="1" max="1" width="21.5546875" customWidth="1"/>
    <col min="2" max="2" width="10.5546875" customWidth="1"/>
    <col min="3" max="3" width="10.6640625" customWidth="1"/>
    <col min="4" max="4" width="9.5546875" customWidth="1"/>
    <col min="5" max="6" width="12.6640625" customWidth="1"/>
    <col min="7" max="7" width="13.6640625" customWidth="1"/>
    <col min="8" max="8" width="12.33203125" customWidth="1"/>
    <col min="9" max="9" width="14.88671875" customWidth="1"/>
    <col min="10" max="10" width="13" customWidth="1"/>
    <col min="11" max="11" width="16.88671875" customWidth="1"/>
    <col min="12" max="12" width="15.44140625" customWidth="1"/>
    <col min="13" max="13" width="17.33203125" customWidth="1"/>
    <col min="14" max="14" width="18.5546875" customWidth="1"/>
    <col min="15" max="15" width="16.88671875" customWidth="1"/>
    <col min="16" max="18" width="23.6640625" customWidth="1"/>
    <col min="19" max="19" width="17.6640625" customWidth="1"/>
    <col min="20" max="20" width="23" customWidth="1"/>
    <col min="21" max="21" width="16.33203125" customWidth="1"/>
    <col min="22" max="22" width="15.88671875" customWidth="1"/>
  </cols>
  <sheetData>
    <row r="1" spans="1:19" ht="15.6" x14ac:dyDescent="0.3">
      <c r="A1" s="21" t="s">
        <v>90</v>
      </c>
      <c r="B1" s="129" t="s">
        <v>82</v>
      </c>
      <c r="C1" s="130"/>
      <c r="D1" s="131" t="s">
        <v>91</v>
      </c>
      <c r="E1" s="132"/>
      <c r="F1" s="111" t="s">
        <v>80</v>
      </c>
      <c r="G1" s="112" t="s">
        <v>74</v>
      </c>
      <c r="H1" s="111" t="s">
        <v>92</v>
      </c>
      <c r="J1" s="122" t="s">
        <v>74</v>
      </c>
      <c r="K1" s="122"/>
      <c r="L1" s="123" t="s">
        <v>80</v>
      </c>
      <c r="M1" s="123"/>
      <c r="N1" s="123" t="s">
        <v>81</v>
      </c>
      <c r="O1" s="123"/>
      <c r="P1" s="124" t="s">
        <v>82</v>
      </c>
      <c r="Q1" s="124"/>
      <c r="R1" s="100" t="s">
        <v>83</v>
      </c>
      <c r="S1" s="46" t="s">
        <v>84</v>
      </c>
    </row>
    <row r="2" spans="1:19" ht="15.6" x14ac:dyDescent="0.3">
      <c r="A2" s="22"/>
      <c r="B2" s="20" t="s">
        <v>93</v>
      </c>
      <c r="C2" s="20" t="s">
        <v>94</v>
      </c>
      <c r="D2" s="20" t="s">
        <v>91</v>
      </c>
      <c r="E2" s="23" t="s">
        <v>95</v>
      </c>
      <c r="F2" s="23" t="s">
        <v>96</v>
      </c>
      <c r="G2" s="20" t="s">
        <v>96</v>
      </c>
      <c r="H2" s="20"/>
      <c r="J2" s="36" t="s">
        <v>75</v>
      </c>
      <c r="K2" s="36" t="s">
        <v>76</v>
      </c>
      <c r="L2" s="98" t="s">
        <v>75</v>
      </c>
      <c r="M2" s="98" t="s">
        <v>76</v>
      </c>
      <c r="N2" s="98" t="s">
        <v>75</v>
      </c>
      <c r="O2" s="98" t="s">
        <v>76</v>
      </c>
      <c r="P2" s="99" t="s">
        <v>75</v>
      </c>
      <c r="Q2" s="99" t="s">
        <v>85</v>
      </c>
      <c r="R2" s="101" t="s">
        <v>86</v>
      </c>
      <c r="S2" s="47" t="s">
        <v>86</v>
      </c>
    </row>
    <row r="3" spans="1:19" ht="15.6" x14ac:dyDescent="0.3">
      <c r="A3" s="95" t="s">
        <v>97</v>
      </c>
      <c r="B3" s="16">
        <f>SUM(B4:B5)</f>
        <v>7</v>
      </c>
      <c r="C3" s="45">
        <f>B3*100/22</f>
        <v>31.818181818181817</v>
      </c>
      <c r="D3" s="43">
        <f>SUM(D4:D5)</f>
        <v>8</v>
      </c>
      <c r="E3" s="70">
        <f>D3*100/36</f>
        <v>22.222222222222221</v>
      </c>
      <c r="F3" s="16" t="s">
        <v>98</v>
      </c>
      <c r="G3" s="16" t="s">
        <v>99</v>
      </c>
      <c r="H3" s="59">
        <f>SUM(H4:H5)</f>
        <v>17.59</v>
      </c>
      <c r="I3" s="75"/>
      <c r="J3" s="45" t="s">
        <v>4</v>
      </c>
      <c r="K3" s="70">
        <v>47.482267725749978</v>
      </c>
      <c r="L3" s="43" t="s">
        <v>4</v>
      </c>
      <c r="M3" s="45">
        <v>14.673913043478262</v>
      </c>
      <c r="N3" s="43" t="s">
        <v>4</v>
      </c>
      <c r="O3" s="45">
        <v>17.045454545454547</v>
      </c>
      <c r="P3" s="43" t="s">
        <v>4</v>
      </c>
      <c r="Q3" s="43">
        <v>2</v>
      </c>
      <c r="R3" s="16">
        <v>2</v>
      </c>
      <c r="S3" s="113">
        <v>2</v>
      </c>
    </row>
    <row r="4" spans="1:19" ht="15.6" x14ac:dyDescent="0.3">
      <c r="A4" s="71" t="s">
        <v>100</v>
      </c>
      <c r="B4" s="16">
        <v>2</v>
      </c>
      <c r="C4" s="45">
        <f>B4*100/22</f>
        <v>9.0909090909090917</v>
      </c>
      <c r="D4" s="43">
        <v>2</v>
      </c>
      <c r="E4" s="70">
        <f t="shared" ref="E4:E29" si="0">D4*100/36</f>
        <v>5.5555555555555554</v>
      </c>
      <c r="F4" s="16">
        <v>17.05</v>
      </c>
      <c r="G4" s="16">
        <v>47.48</v>
      </c>
      <c r="H4" s="58">
        <v>2.93</v>
      </c>
      <c r="I4" s="75"/>
      <c r="J4" s="45" t="s">
        <v>6</v>
      </c>
      <c r="K4" s="70">
        <v>91.407678244972573</v>
      </c>
      <c r="L4" s="43" t="s">
        <v>6</v>
      </c>
      <c r="M4" s="76">
        <v>25</v>
      </c>
      <c r="N4" s="43" t="s">
        <v>6</v>
      </c>
      <c r="O4" s="45">
        <v>33.333333333333336</v>
      </c>
      <c r="P4" s="43" t="s">
        <v>6</v>
      </c>
      <c r="Q4" s="43">
        <v>1</v>
      </c>
      <c r="R4" s="16">
        <v>1</v>
      </c>
      <c r="S4" s="113">
        <v>1</v>
      </c>
    </row>
    <row r="5" spans="1:19" ht="15.6" x14ac:dyDescent="0.3">
      <c r="A5" s="71" t="s">
        <v>101</v>
      </c>
      <c r="B5" s="16">
        <f>SUM(B6:B9)</f>
        <v>5</v>
      </c>
      <c r="C5" s="45">
        <f t="shared" ref="C5:C11" si="1">B5*100/22</f>
        <v>22.727272727272727</v>
      </c>
      <c r="D5" s="43">
        <f>SUM(D6:D9)</f>
        <v>6</v>
      </c>
      <c r="E5" s="70">
        <f t="shared" si="0"/>
        <v>16.666666666666668</v>
      </c>
      <c r="F5" s="16" t="s">
        <v>98</v>
      </c>
      <c r="G5" s="16" t="s">
        <v>98</v>
      </c>
      <c r="H5" s="60">
        <f>SUM(H6:H9)</f>
        <v>14.66</v>
      </c>
      <c r="I5" s="75"/>
      <c r="J5" s="45" t="s">
        <v>8</v>
      </c>
      <c r="K5" s="70">
        <v>64.230769230769226</v>
      </c>
      <c r="L5" s="43" t="s">
        <v>77</v>
      </c>
      <c r="M5" s="76">
        <v>41.666666666666671</v>
      </c>
      <c r="N5" s="43" t="s">
        <v>77</v>
      </c>
      <c r="O5" s="45">
        <v>41.666666666666671</v>
      </c>
      <c r="P5" s="43" t="s">
        <v>77</v>
      </c>
      <c r="Q5" s="43">
        <v>2</v>
      </c>
      <c r="R5" s="16">
        <v>2</v>
      </c>
      <c r="S5" s="113">
        <v>2</v>
      </c>
    </row>
    <row r="6" spans="1:19" ht="15.6" x14ac:dyDescent="0.3">
      <c r="A6" s="71" t="s">
        <v>102</v>
      </c>
      <c r="B6" s="16">
        <v>1</v>
      </c>
      <c r="C6" s="45">
        <f t="shared" si="1"/>
        <v>4.5454545454545459</v>
      </c>
      <c r="D6" s="43">
        <v>1</v>
      </c>
      <c r="E6" s="70">
        <f t="shared" si="0"/>
        <v>2.7777777777777777</v>
      </c>
      <c r="F6" s="16">
        <v>33.33</v>
      </c>
      <c r="G6" s="16">
        <v>91.41</v>
      </c>
      <c r="H6" s="58">
        <v>2.84</v>
      </c>
      <c r="I6" s="75"/>
      <c r="J6" s="45" t="s">
        <v>10</v>
      </c>
      <c r="K6" s="70">
        <v>75</v>
      </c>
      <c r="L6" s="43" t="s">
        <v>10</v>
      </c>
      <c r="M6" s="45">
        <v>33.333333333333336</v>
      </c>
      <c r="N6" s="43" t="s">
        <v>10</v>
      </c>
      <c r="O6" s="45">
        <v>33.333333333333336</v>
      </c>
      <c r="P6" s="43" t="s">
        <v>10</v>
      </c>
      <c r="Q6" s="43">
        <v>1</v>
      </c>
      <c r="R6" s="16">
        <v>1</v>
      </c>
      <c r="S6" s="113">
        <v>1</v>
      </c>
    </row>
    <row r="7" spans="1:19" ht="15.6" x14ac:dyDescent="0.3">
      <c r="A7" s="96" t="s">
        <v>103</v>
      </c>
      <c r="B7" s="92">
        <v>1</v>
      </c>
      <c r="C7" s="45">
        <f t="shared" si="1"/>
        <v>4.5454545454545459</v>
      </c>
      <c r="D7" s="43">
        <v>2</v>
      </c>
      <c r="E7" s="70">
        <f t="shared" si="0"/>
        <v>5.5555555555555554</v>
      </c>
      <c r="F7" s="16">
        <v>100</v>
      </c>
      <c r="G7" s="16">
        <v>100</v>
      </c>
      <c r="H7" s="58">
        <v>4.55</v>
      </c>
      <c r="I7" s="75"/>
      <c r="J7" s="45" t="s">
        <v>12</v>
      </c>
      <c r="K7" s="70">
        <v>100</v>
      </c>
      <c r="L7" s="43" t="s">
        <v>12</v>
      </c>
      <c r="M7" s="45">
        <v>100</v>
      </c>
      <c r="N7" s="43" t="s">
        <v>12</v>
      </c>
      <c r="O7" s="45">
        <v>100</v>
      </c>
      <c r="P7" s="43" t="s">
        <v>12</v>
      </c>
      <c r="Q7" s="43">
        <v>1</v>
      </c>
      <c r="R7" s="16">
        <v>2</v>
      </c>
      <c r="S7" s="113">
        <v>2</v>
      </c>
    </row>
    <row r="8" spans="1:19" ht="15.6" x14ac:dyDescent="0.3">
      <c r="A8" s="93" t="s">
        <v>104</v>
      </c>
      <c r="B8" s="92">
        <v>2</v>
      </c>
      <c r="C8" s="45">
        <f t="shared" si="1"/>
        <v>9.0909090909090917</v>
      </c>
      <c r="D8" s="43">
        <v>2</v>
      </c>
      <c r="E8" s="70">
        <f t="shared" si="0"/>
        <v>5.5555555555555554</v>
      </c>
      <c r="F8" s="16">
        <v>41.67</v>
      </c>
      <c r="G8" s="16">
        <v>64.23</v>
      </c>
      <c r="H8" s="58">
        <v>4.8099999999999996</v>
      </c>
      <c r="I8" s="75"/>
      <c r="J8" s="45" t="s">
        <v>14</v>
      </c>
      <c r="K8" s="70">
        <v>60.854068037537338</v>
      </c>
      <c r="L8" s="43" t="s">
        <v>14</v>
      </c>
      <c r="M8" s="45">
        <v>61.335403726708073</v>
      </c>
      <c r="N8" s="43" t="s">
        <v>14</v>
      </c>
      <c r="O8" s="45">
        <v>62.012987012987011</v>
      </c>
      <c r="P8" s="43" t="s">
        <v>14</v>
      </c>
      <c r="Q8" s="43">
        <v>7</v>
      </c>
      <c r="R8" s="16">
        <v>7</v>
      </c>
      <c r="S8" s="113">
        <v>7</v>
      </c>
    </row>
    <row r="9" spans="1:19" ht="15.6" x14ac:dyDescent="0.3">
      <c r="A9" s="93" t="s">
        <v>105</v>
      </c>
      <c r="B9" s="16">
        <v>1</v>
      </c>
      <c r="C9" s="45">
        <f t="shared" si="1"/>
        <v>4.5454545454545459</v>
      </c>
      <c r="D9" s="43">
        <v>1</v>
      </c>
      <c r="E9" s="70">
        <f t="shared" si="0"/>
        <v>2.7777777777777777</v>
      </c>
      <c r="F9" s="16">
        <v>33.33</v>
      </c>
      <c r="G9" s="16">
        <v>75</v>
      </c>
      <c r="H9" s="58">
        <v>2.46</v>
      </c>
      <c r="I9" s="75"/>
      <c r="J9" s="45" t="s">
        <v>16</v>
      </c>
      <c r="K9" s="70">
        <v>100</v>
      </c>
      <c r="L9" s="43" t="s">
        <v>16</v>
      </c>
      <c r="M9" s="45">
        <v>100</v>
      </c>
      <c r="N9" s="43" t="s">
        <v>16</v>
      </c>
      <c r="O9" s="45">
        <v>100</v>
      </c>
      <c r="P9" s="43" t="s">
        <v>16</v>
      </c>
      <c r="Q9" s="43">
        <v>1</v>
      </c>
      <c r="R9" s="16">
        <v>1</v>
      </c>
      <c r="S9" s="113">
        <v>1</v>
      </c>
    </row>
    <row r="10" spans="1:19" ht="15.6" x14ac:dyDescent="0.3">
      <c r="A10" s="95" t="s">
        <v>106</v>
      </c>
      <c r="B10" s="16">
        <f>SUM(B11:B12)</f>
        <v>8</v>
      </c>
      <c r="C10" s="45">
        <f t="shared" si="1"/>
        <v>36.363636363636367</v>
      </c>
      <c r="D10" s="43">
        <f>SUM(D11:D12)</f>
        <v>8</v>
      </c>
      <c r="E10" s="70">
        <f t="shared" si="0"/>
        <v>22.222222222222221</v>
      </c>
      <c r="F10" s="16" t="s">
        <v>98</v>
      </c>
      <c r="G10" s="16" t="s">
        <v>98</v>
      </c>
      <c r="H10" s="60">
        <f>SUM(H11:H12)</f>
        <v>24.1</v>
      </c>
      <c r="I10" s="75"/>
      <c r="J10" s="45" t="s">
        <v>18</v>
      </c>
      <c r="K10" s="70">
        <v>21.042471042471043</v>
      </c>
      <c r="L10" s="43" t="s">
        <v>18</v>
      </c>
      <c r="M10" s="45">
        <v>50</v>
      </c>
      <c r="N10" s="43" t="s">
        <v>18</v>
      </c>
      <c r="O10" s="45">
        <v>50</v>
      </c>
      <c r="P10" s="43" t="s">
        <v>18</v>
      </c>
      <c r="Q10" s="43">
        <v>2</v>
      </c>
      <c r="R10" s="16">
        <v>2</v>
      </c>
      <c r="S10" s="113">
        <v>2</v>
      </c>
    </row>
    <row r="11" spans="1:19" ht="15.6" x14ac:dyDescent="0.3">
      <c r="A11" s="95" t="s">
        <v>107</v>
      </c>
      <c r="B11" s="16">
        <v>7</v>
      </c>
      <c r="C11" s="45">
        <f t="shared" si="1"/>
        <v>31.818181818181817</v>
      </c>
      <c r="D11" s="43">
        <v>7</v>
      </c>
      <c r="E11" s="70">
        <f t="shared" si="0"/>
        <v>19.444444444444443</v>
      </c>
      <c r="F11" s="16">
        <v>62.01</v>
      </c>
      <c r="G11" s="16">
        <v>60.85</v>
      </c>
      <c r="H11" s="60">
        <v>19.55</v>
      </c>
      <c r="I11" s="75"/>
      <c r="J11" s="45" t="s">
        <v>71</v>
      </c>
      <c r="K11" s="70">
        <v>3.2037590773173856</v>
      </c>
      <c r="L11" s="16" t="s">
        <v>71</v>
      </c>
      <c r="M11" s="45">
        <v>25</v>
      </c>
      <c r="N11" s="16" t="s">
        <v>71</v>
      </c>
      <c r="O11" s="45">
        <v>25</v>
      </c>
      <c r="P11" s="16" t="s">
        <v>71</v>
      </c>
      <c r="Q11" s="43">
        <v>1</v>
      </c>
      <c r="R11" s="16">
        <v>1</v>
      </c>
      <c r="S11" s="113">
        <v>1</v>
      </c>
    </row>
    <row r="12" spans="1:19" ht="16.2" x14ac:dyDescent="0.35">
      <c r="A12" s="97" t="s">
        <v>108</v>
      </c>
      <c r="B12" s="16">
        <v>1</v>
      </c>
      <c r="C12" s="45">
        <f>B12*100/22</f>
        <v>4.5454545454545459</v>
      </c>
      <c r="D12" s="43">
        <v>1</v>
      </c>
      <c r="E12" s="70">
        <f t="shared" si="0"/>
        <v>2.7777777777777777</v>
      </c>
      <c r="F12" s="16">
        <v>100</v>
      </c>
      <c r="G12" s="16">
        <v>100</v>
      </c>
      <c r="H12" s="58">
        <v>4.55</v>
      </c>
      <c r="I12" s="75"/>
      <c r="J12" s="45" t="s">
        <v>22</v>
      </c>
      <c r="K12" s="70">
        <v>42.467948717948715</v>
      </c>
      <c r="L12" s="16" t="s">
        <v>22</v>
      </c>
      <c r="M12" s="45">
        <v>54.166666666666671</v>
      </c>
      <c r="N12" s="16" t="s">
        <v>22</v>
      </c>
      <c r="O12" s="45">
        <v>54.166666666666671</v>
      </c>
      <c r="P12" s="16" t="s">
        <v>22</v>
      </c>
      <c r="Q12" s="43">
        <v>4</v>
      </c>
      <c r="R12" s="16">
        <v>5</v>
      </c>
      <c r="S12" s="113">
        <v>5</v>
      </c>
    </row>
    <row r="13" spans="1:19" ht="15.6" x14ac:dyDescent="0.3">
      <c r="A13" s="95" t="s">
        <v>109</v>
      </c>
      <c r="B13" s="16">
        <f>SUM(B14:B15)</f>
        <v>7</v>
      </c>
      <c r="C13" s="45">
        <f>B13*100/22</f>
        <v>31.818181818181817</v>
      </c>
      <c r="D13" s="43">
        <f>SUM(D14:D15)</f>
        <v>8</v>
      </c>
      <c r="E13" s="70">
        <f t="shared" si="0"/>
        <v>22.222222222222221</v>
      </c>
      <c r="F13" s="16" t="s">
        <v>98</v>
      </c>
      <c r="G13" s="16" t="s">
        <v>98</v>
      </c>
      <c r="H13" s="60">
        <f>SUM(H14:H15)</f>
        <v>8.67</v>
      </c>
      <c r="I13" s="75"/>
      <c r="J13" s="45" t="s">
        <v>24</v>
      </c>
      <c r="K13" s="70">
        <v>83.654876741693457</v>
      </c>
      <c r="L13" s="43" t="s">
        <v>24</v>
      </c>
      <c r="M13" s="45">
        <v>52.173913043478258</v>
      </c>
      <c r="N13" s="43" t="s">
        <v>24</v>
      </c>
      <c r="O13" s="45">
        <v>54.545454545454547</v>
      </c>
      <c r="P13" s="43" t="s">
        <v>24</v>
      </c>
      <c r="Q13" s="43">
        <v>2</v>
      </c>
      <c r="R13" s="16">
        <v>2</v>
      </c>
      <c r="S13" s="113">
        <v>2</v>
      </c>
    </row>
    <row r="14" spans="1:19" ht="15.6" x14ac:dyDescent="0.3">
      <c r="A14" s="71" t="s">
        <v>110</v>
      </c>
      <c r="B14" s="16">
        <v>2</v>
      </c>
      <c r="C14" s="45">
        <f t="shared" ref="C14:C19" si="2">B14*100/22</f>
        <v>9.0909090909090917</v>
      </c>
      <c r="D14" s="43">
        <v>2</v>
      </c>
      <c r="E14" s="70">
        <f t="shared" si="0"/>
        <v>5.5555555555555554</v>
      </c>
      <c r="F14" s="16">
        <v>50</v>
      </c>
      <c r="G14" s="16">
        <v>21.04</v>
      </c>
      <c r="H14" s="58">
        <v>3.23</v>
      </c>
      <c r="I14" s="75"/>
      <c r="J14" s="45" t="s">
        <v>26</v>
      </c>
      <c r="K14" s="70">
        <v>100</v>
      </c>
      <c r="L14" s="43" t="s">
        <v>26</v>
      </c>
      <c r="M14" s="45">
        <v>100</v>
      </c>
      <c r="N14" s="43" t="s">
        <v>26</v>
      </c>
      <c r="O14" s="45">
        <v>100</v>
      </c>
      <c r="P14" s="43" t="s">
        <v>26</v>
      </c>
      <c r="Q14" s="43">
        <v>1</v>
      </c>
      <c r="R14" s="16">
        <v>1</v>
      </c>
      <c r="S14" s="113">
        <v>1</v>
      </c>
    </row>
    <row r="15" spans="1:19" ht="15.6" x14ac:dyDescent="0.3">
      <c r="A15" s="71" t="s">
        <v>111</v>
      </c>
      <c r="B15" s="16">
        <f>SUM(B16:B18)</f>
        <v>5</v>
      </c>
      <c r="C15" s="45">
        <f t="shared" si="2"/>
        <v>22.727272727272727</v>
      </c>
      <c r="D15" s="43">
        <f>SUM(D16:D18)</f>
        <v>6</v>
      </c>
      <c r="E15" s="70">
        <f t="shared" si="0"/>
        <v>16.666666666666668</v>
      </c>
      <c r="F15" s="16" t="s">
        <v>98</v>
      </c>
      <c r="G15" s="16" t="s">
        <v>98</v>
      </c>
      <c r="H15" s="58">
        <f>SUM(H16:H18)</f>
        <v>5.4399999999999995</v>
      </c>
      <c r="I15" s="75"/>
      <c r="J15" s="45" t="s">
        <v>28</v>
      </c>
      <c r="K15" s="70">
        <v>64.837049742710121</v>
      </c>
      <c r="L15" s="43" t="s">
        <v>28</v>
      </c>
      <c r="M15" s="45">
        <v>50</v>
      </c>
      <c r="N15" s="43" t="s">
        <v>28</v>
      </c>
      <c r="O15" s="45">
        <v>50</v>
      </c>
      <c r="P15" s="43" t="s">
        <v>28</v>
      </c>
      <c r="Q15" s="43">
        <v>1</v>
      </c>
      <c r="R15" s="16">
        <v>1</v>
      </c>
      <c r="S15" s="113">
        <v>1</v>
      </c>
    </row>
    <row r="16" spans="1:19" ht="15.6" x14ac:dyDescent="0.3">
      <c r="A16" s="95" t="s">
        <v>112</v>
      </c>
      <c r="B16" s="16">
        <v>2</v>
      </c>
      <c r="C16" s="45">
        <f t="shared" si="2"/>
        <v>9.0909090909090917</v>
      </c>
      <c r="D16" s="43">
        <v>2</v>
      </c>
      <c r="E16" s="70">
        <f t="shared" si="0"/>
        <v>5.5555555555555554</v>
      </c>
      <c r="F16" s="16">
        <v>41.67</v>
      </c>
      <c r="G16" s="16">
        <v>32.159999999999997</v>
      </c>
      <c r="H16" s="58">
        <v>3.36</v>
      </c>
      <c r="I16" s="75"/>
      <c r="J16" s="45" t="s">
        <v>30</v>
      </c>
      <c r="K16" s="70">
        <v>93.243243243243242</v>
      </c>
      <c r="L16" s="43" t="s">
        <v>30</v>
      </c>
      <c r="M16" s="45">
        <v>75</v>
      </c>
      <c r="N16" s="43" t="s">
        <v>30</v>
      </c>
      <c r="O16" s="45">
        <v>75</v>
      </c>
      <c r="P16" s="43" t="s">
        <v>30</v>
      </c>
      <c r="Q16" s="43">
        <v>2</v>
      </c>
      <c r="R16" s="16">
        <v>2</v>
      </c>
      <c r="S16" s="113">
        <v>2</v>
      </c>
    </row>
    <row r="17" spans="1:19" ht="15.6" x14ac:dyDescent="0.3">
      <c r="A17" s="71" t="s">
        <v>113</v>
      </c>
      <c r="B17" s="113">
        <v>1</v>
      </c>
      <c r="C17" s="45">
        <f t="shared" si="2"/>
        <v>4.5454545454545459</v>
      </c>
      <c r="D17" s="43">
        <v>2</v>
      </c>
      <c r="E17" s="70">
        <f t="shared" si="0"/>
        <v>5.5555555555555554</v>
      </c>
      <c r="F17" s="16">
        <v>18.18</v>
      </c>
      <c r="G17" s="16">
        <v>2.0099999999999998</v>
      </c>
      <c r="H17" s="58">
        <v>0.46</v>
      </c>
      <c r="I17" s="75"/>
      <c r="J17" s="45" t="s">
        <v>72</v>
      </c>
      <c r="K17" s="70">
        <v>1.1521972132904608</v>
      </c>
      <c r="L17" s="43" t="s">
        <v>72</v>
      </c>
      <c r="M17" s="45">
        <v>17.391304347826086</v>
      </c>
      <c r="N17" s="43" t="s">
        <v>72</v>
      </c>
      <c r="O17" s="45">
        <v>36.363636363636367</v>
      </c>
      <c r="P17" s="43" t="s">
        <v>72</v>
      </c>
      <c r="Q17" s="43">
        <v>1</v>
      </c>
      <c r="R17" s="16">
        <v>4</v>
      </c>
      <c r="S17" s="113">
        <v>4</v>
      </c>
    </row>
    <row r="18" spans="1:19" ht="15.6" x14ac:dyDescent="0.3">
      <c r="A18" s="95" t="s">
        <v>114</v>
      </c>
      <c r="B18" s="113">
        <v>2</v>
      </c>
      <c r="C18" s="45">
        <f t="shared" si="2"/>
        <v>9.0909090909090917</v>
      </c>
      <c r="D18" s="43">
        <v>2</v>
      </c>
      <c r="E18" s="70">
        <f t="shared" si="0"/>
        <v>5.5555555555555554</v>
      </c>
      <c r="F18" s="16">
        <v>29.17</v>
      </c>
      <c r="G18" s="16">
        <v>6.37</v>
      </c>
      <c r="H18" s="58">
        <v>1.62</v>
      </c>
      <c r="I18" s="75"/>
      <c r="J18" s="45" t="s">
        <v>73</v>
      </c>
      <c r="K18" s="70">
        <v>42.50795945858254</v>
      </c>
      <c r="L18" s="43" t="s">
        <v>73</v>
      </c>
      <c r="M18" s="45">
        <v>67.44469870327994</v>
      </c>
      <c r="N18" s="43" t="s">
        <v>73</v>
      </c>
      <c r="O18" s="45">
        <v>45.151515151515156</v>
      </c>
      <c r="P18" s="43" t="s">
        <v>73</v>
      </c>
      <c r="Q18" s="43">
        <v>5</v>
      </c>
      <c r="R18" s="16">
        <v>69</v>
      </c>
      <c r="S18" s="113">
        <v>5</v>
      </c>
    </row>
    <row r="19" spans="1:19" ht="15.6" x14ac:dyDescent="0.3">
      <c r="A19" s="95" t="s">
        <v>20</v>
      </c>
      <c r="B19" s="113">
        <f>SUM(B20:B22)</f>
        <v>17</v>
      </c>
      <c r="C19" s="45">
        <f t="shared" si="2"/>
        <v>77.272727272727266</v>
      </c>
      <c r="D19" s="43">
        <f>SUM(D20:D22)</f>
        <v>21</v>
      </c>
      <c r="E19" s="70">
        <f t="shared" si="0"/>
        <v>58.333333333333336</v>
      </c>
      <c r="F19" s="16" t="s">
        <v>98</v>
      </c>
      <c r="G19" s="16" t="s">
        <v>98</v>
      </c>
      <c r="H19" s="60">
        <f>SUM(H20:H22)</f>
        <v>41.32</v>
      </c>
      <c r="I19" s="75"/>
      <c r="J19" s="45" t="s">
        <v>36</v>
      </c>
      <c r="K19" s="70">
        <v>32.159090909090907</v>
      </c>
      <c r="L19" s="43" t="s">
        <v>78</v>
      </c>
      <c r="M19" s="45">
        <v>41.666666666666671</v>
      </c>
      <c r="N19" s="43" t="s">
        <v>78</v>
      </c>
      <c r="O19" s="45">
        <v>41.666666666666671</v>
      </c>
      <c r="P19" s="43" t="s">
        <v>78</v>
      </c>
      <c r="Q19" s="43">
        <v>2</v>
      </c>
      <c r="R19" s="16">
        <v>2</v>
      </c>
      <c r="S19" s="113">
        <v>2</v>
      </c>
    </row>
    <row r="20" spans="1:19" ht="15.6" x14ac:dyDescent="0.3">
      <c r="A20" s="71" t="s">
        <v>115</v>
      </c>
      <c r="B20" s="113">
        <v>1</v>
      </c>
      <c r="C20" s="45">
        <f>B20*100/22</f>
        <v>4.5454545454545459</v>
      </c>
      <c r="D20" s="43">
        <v>1</v>
      </c>
      <c r="E20" s="70">
        <f t="shared" si="0"/>
        <v>2.7777777777777777</v>
      </c>
      <c r="F20" s="16">
        <v>25</v>
      </c>
      <c r="G20" s="16">
        <v>3.2</v>
      </c>
      <c r="H20" s="58">
        <v>0.64</v>
      </c>
      <c r="I20" s="75"/>
      <c r="J20" s="45" t="s">
        <v>38</v>
      </c>
      <c r="K20" s="70">
        <v>2.0096463022508035</v>
      </c>
      <c r="L20" s="43" t="s">
        <v>38</v>
      </c>
      <c r="M20" s="45">
        <v>8.695652173913043</v>
      </c>
      <c r="N20" s="43" t="s">
        <v>38</v>
      </c>
      <c r="O20" s="45">
        <v>18.181818181818183</v>
      </c>
      <c r="P20" s="43" t="s">
        <v>38</v>
      </c>
      <c r="Q20" s="16">
        <v>1</v>
      </c>
      <c r="R20" s="16">
        <v>2</v>
      </c>
      <c r="S20" s="113">
        <v>2</v>
      </c>
    </row>
    <row r="21" spans="1:19" ht="15.6" x14ac:dyDescent="0.3">
      <c r="A21" s="71" t="s">
        <v>116</v>
      </c>
      <c r="B21" s="113">
        <v>5</v>
      </c>
      <c r="C21" s="45">
        <f>B21*100/22</f>
        <v>22.727272727272727</v>
      </c>
      <c r="D21" s="114">
        <v>5</v>
      </c>
      <c r="E21" s="70">
        <f t="shared" si="0"/>
        <v>13.888888888888889</v>
      </c>
      <c r="F21" s="16">
        <v>45.15</v>
      </c>
      <c r="G21" s="43">
        <v>42.51</v>
      </c>
      <c r="H21" s="58">
        <v>9.9600000000000009</v>
      </c>
      <c r="I21" s="75"/>
      <c r="J21" s="45" t="s">
        <v>40</v>
      </c>
      <c r="K21" s="70">
        <v>6.3740553693908826</v>
      </c>
      <c r="L21" s="43" t="s">
        <v>40</v>
      </c>
      <c r="M21" s="45">
        <v>25</v>
      </c>
      <c r="N21" s="43" t="s">
        <v>40</v>
      </c>
      <c r="O21" s="70">
        <v>29.166666666666668</v>
      </c>
      <c r="P21" s="43" t="s">
        <v>40</v>
      </c>
      <c r="Q21" s="43">
        <v>2</v>
      </c>
      <c r="R21" s="16">
        <v>2</v>
      </c>
      <c r="S21" s="113">
        <v>2</v>
      </c>
    </row>
    <row r="22" spans="1:19" ht="15.6" x14ac:dyDescent="0.3">
      <c r="A22" s="71" t="s">
        <v>117</v>
      </c>
      <c r="B22" s="113">
        <f>SUM(B23:B28)</f>
        <v>11</v>
      </c>
      <c r="C22" s="45">
        <f t="shared" ref="C22:C28" si="3">B22*100/22</f>
        <v>50</v>
      </c>
      <c r="D22" s="114">
        <f>SUM(D23:D28)</f>
        <v>15</v>
      </c>
      <c r="E22" s="70">
        <f>D22*100/36</f>
        <v>41.666666666666664</v>
      </c>
      <c r="F22" s="76" t="s">
        <v>98</v>
      </c>
      <c r="G22" s="45" t="s">
        <v>98</v>
      </c>
      <c r="H22" s="60">
        <f>SUM(H23:H28)</f>
        <v>30.72</v>
      </c>
      <c r="I22" s="75"/>
      <c r="J22" s="45" t="s">
        <v>42</v>
      </c>
      <c r="K22" s="70">
        <v>39.40651311679305</v>
      </c>
      <c r="L22" s="43" t="s">
        <v>79</v>
      </c>
      <c r="M22" s="45">
        <v>39.244851258581235</v>
      </c>
      <c r="N22" s="43" t="s">
        <v>79</v>
      </c>
      <c r="O22" s="70">
        <v>52.272727272727273</v>
      </c>
      <c r="P22" s="43" t="s">
        <v>79</v>
      </c>
      <c r="Q22" s="43">
        <v>4</v>
      </c>
      <c r="R22" s="16">
        <v>4</v>
      </c>
      <c r="S22" s="113">
        <v>4</v>
      </c>
    </row>
    <row r="23" spans="1:19" ht="15.6" x14ac:dyDescent="0.3">
      <c r="A23" s="71" t="s">
        <v>118</v>
      </c>
      <c r="B23" s="113">
        <v>1</v>
      </c>
      <c r="C23" s="45">
        <f t="shared" si="3"/>
        <v>4.5454545454545459</v>
      </c>
      <c r="D23" s="114">
        <v>4</v>
      </c>
      <c r="E23" s="70">
        <f t="shared" si="0"/>
        <v>11.111111111111111</v>
      </c>
      <c r="F23" s="76">
        <v>36.36</v>
      </c>
      <c r="G23" s="76">
        <v>1.1499999999999999</v>
      </c>
      <c r="H23" s="94">
        <v>0.85</v>
      </c>
      <c r="J23" s="42"/>
      <c r="K23" s="56"/>
      <c r="L23" s="39"/>
    </row>
    <row r="24" spans="1:19" ht="15.6" x14ac:dyDescent="0.3">
      <c r="A24" s="37" t="s">
        <v>119</v>
      </c>
      <c r="B24" s="4">
        <v>2</v>
      </c>
      <c r="C24" s="45">
        <f t="shared" si="3"/>
        <v>9.0909090909090917</v>
      </c>
      <c r="D24" s="114">
        <v>2</v>
      </c>
      <c r="E24" s="70">
        <f t="shared" si="0"/>
        <v>5.5555555555555554</v>
      </c>
      <c r="F24" s="76">
        <v>54.55</v>
      </c>
      <c r="G24" s="33">
        <v>83.654876741693457</v>
      </c>
      <c r="H24" s="94">
        <v>6.28</v>
      </c>
      <c r="J24" s="42"/>
      <c r="K24" s="56"/>
      <c r="L24" s="39"/>
    </row>
    <row r="25" spans="1:19" ht="15.6" x14ac:dyDescent="0.3">
      <c r="A25" s="37" t="s">
        <v>120</v>
      </c>
      <c r="B25" s="4">
        <v>1</v>
      </c>
      <c r="C25" s="45">
        <f t="shared" si="3"/>
        <v>4.5454545454545459</v>
      </c>
      <c r="D25" s="114">
        <v>1</v>
      </c>
      <c r="E25" s="70">
        <f t="shared" si="0"/>
        <v>2.7777777777777777</v>
      </c>
      <c r="F25" s="76">
        <v>100</v>
      </c>
      <c r="G25" s="33">
        <v>100</v>
      </c>
      <c r="H25" s="94">
        <v>4.55</v>
      </c>
      <c r="J25" s="42"/>
      <c r="K25" s="56"/>
      <c r="L25" s="39"/>
    </row>
    <row r="26" spans="1:19" ht="15.6" x14ac:dyDescent="0.3">
      <c r="A26" s="37" t="s">
        <v>121</v>
      </c>
      <c r="B26" s="4">
        <v>1</v>
      </c>
      <c r="C26" s="45">
        <f t="shared" si="3"/>
        <v>4.5454545454545459</v>
      </c>
      <c r="D26" s="114">
        <v>1</v>
      </c>
      <c r="E26" s="70">
        <f t="shared" si="0"/>
        <v>2.7777777777777777</v>
      </c>
      <c r="F26" s="76">
        <v>50</v>
      </c>
      <c r="G26" s="33">
        <v>64.837049742710121</v>
      </c>
      <c r="H26" s="94">
        <v>2.61</v>
      </c>
      <c r="I26" s="30"/>
      <c r="J26" s="32"/>
    </row>
    <row r="27" spans="1:19" ht="15.6" x14ac:dyDescent="0.3">
      <c r="A27" s="37" t="s">
        <v>122</v>
      </c>
      <c r="B27" s="4">
        <v>2</v>
      </c>
      <c r="C27" s="45">
        <f t="shared" si="3"/>
        <v>9.0909090909090917</v>
      </c>
      <c r="D27" s="114">
        <v>2</v>
      </c>
      <c r="E27" s="70">
        <f t="shared" si="0"/>
        <v>5.5555555555555554</v>
      </c>
      <c r="F27" s="76">
        <v>75</v>
      </c>
      <c r="G27" s="33">
        <v>93.24</v>
      </c>
      <c r="H27" s="94">
        <v>7.65</v>
      </c>
      <c r="I27" s="30"/>
      <c r="J27" s="128" t="s">
        <v>123</v>
      </c>
      <c r="K27" s="128"/>
      <c r="L27" s="128"/>
    </row>
    <row r="28" spans="1:19" ht="15.6" x14ac:dyDescent="0.3">
      <c r="A28" s="37" t="s">
        <v>124</v>
      </c>
      <c r="B28" s="4">
        <v>4</v>
      </c>
      <c r="C28" s="45">
        <f t="shared" si="3"/>
        <v>18.181818181818183</v>
      </c>
      <c r="D28" s="114">
        <v>5</v>
      </c>
      <c r="E28" s="70">
        <f t="shared" si="0"/>
        <v>13.888888888888889</v>
      </c>
      <c r="F28" s="76">
        <v>54.17</v>
      </c>
      <c r="G28" s="33">
        <v>42.47</v>
      </c>
      <c r="H28" s="94">
        <v>8.7799999999999994</v>
      </c>
      <c r="I28" s="30"/>
      <c r="J28" s="128"/>
      <c r="K28" s="128"/>
      <c r="L28" s="128"/>
    </row>
    <row r="29" spans="1:19" ht="15.6" x14ac:dyDescent="0.3">
      <c r="A29" s="95" t="s">
        <v>79</v>
      </c>
      <c r="B29" s="113">
        <v>4</v>
      </c>
      <c r="C29" s="45">
        <f>B29*100/22</f>
        <v>18.181818181818183</v>
      </c>
      <c r="D29" s="114">
        <v>4</v>
      </c>
      <c r="E29" s="70">
        <f t="shared" si="0"/>
        <v>11.111111111111111</v>
      </c>
      <c r="F29" s="113">
        <v>52.27</v>
      </c>
      <c r="G29" s="33">
        <v>39.40651311679305</v>
      </c>
      <c r="H29" s="94">
        <v>8.33</v>
      </c>
      <c r="I29" s="24"/>
      <c r="J29" s="128"/>
      <c r="K29" s="128"/>
      <c r="L29" s="128"/>
      <c r="M29" s="30"/>
    </row>
    <row r="30" spans="1:19" ht="15.6" x14ac:dyDescent="0.3">
      <c r="A30" s="95" t="s">
        <v>70</v>
      </c>
      <c r="B30" s="133">
        <v>22</v>
      </c>
      <c r="C30" s="133"/>
      <c r="D30" s="134">
        <f>SUM(D29,D19,D13,D10,D3)</f>
        <v>49</v>
      </c>
      <c r="E30" s="134"/>
      <c r="F30" s="76"/>
      <c r="G30" s="76"/>
      <c r="H30" s="94">
        <f>SUM(H29,H19,H13,H10,H3)</f>
        <v>100.01</v>
      </c>
      <c r="I30" s="24"/>
      <c r="M30" s="30"/>
    </row>
    <row r="31" spans="1:19" x14ac:dyDescent="0.3">
      <c r="B31" s="24"/>
      <c r="C31" s="25"/>
      <c r="D31" s="26"/>
      <c r="E31" s="27"/>
      <c r="F31" s="28"/>
      <c r="G31" s="28"/>
      <c r="H31" s="24"/>
      <c r="I31" s="31"/>
      <c r="M31" s="30"/>
    </row>
    <row r="32" spans="1:19" x14ac:dyDescent="0.3">
      <c r="B32" s="24"/>
      <c r="C32" s="25"/>
      <c r="D32" s="26"/>
      <c r="E32" s="27"/>
      <c r="F32" s="28"/>
      <c r="G32" s="28"/>
      <c r="H32" s="24"/>
      <c r="I32" s="30"/>
      <c r="J32" s="30"/>
      <c r="M32" s="30"/>
    </row>
    <row r="33" spans="1:13" ht="18.600000000000001" x14ac:dyDescent="0.3">
      <c r="A33" s="127" t="s">
        <v>125</v>
      </c>
      <c r="B33" s="127"/>
      <c r="C33" s="127"/>
      <c r="D33" s="127"/>
      <c r="E33" s="48"/>
      <c r="F33" s="49"/>
      <c r="G33" s="49"/>
      <c r="H33" s="49"/>
      <c r="I33" s="30"/>
      <c r="J33" s="30"/>
      <c r="M33" s="30"/>
    </row>
    <row r="34" spans="1:13" ht="15.6" x14ac:dyDescent="0.3">
      <c r="A34" s="48"/>
      <c r="B34" s="48"/>
      <c r="C34" s="48"/>
      <c r="D34" s="48"/>
      <c r="E34" s="48"/>
      <c r="F34" s="50"/>
      <c r="G34" s="50"/>
      <c r="H34" s="51"/>
      <c r="I34" s="42"/>
      <c r="J34" s="30"/>
      <c r="M34" s="30"/>
    </row>
    <row r="35" spans="1:13" ht="15.6" x14ac:dyDescent="0.3">
      <c r="A35" s="53" t="s">
        <v>126</v>
      </c>
      <c r="B35" s="53" t="s">
        <v>94</v>
      </c>
      <c r="C35" s="53" t="s">
        <v>127</v>
      </c>
      <c r="D35" s="53" t="s">
        <v>74</v>
      </c>
      <c r="E35" s="53" t="s">
        <v>128</v>
      </c>
      <c r="F35" s="53" t="s">
        <v>129</v>
      </c>
      <c r="G35" s="53" t="s">
        <v>130</v>
      </c>
      <c r="H35" s="53" t="s">
        <v>131</v>
      </c>
      <c r="I35" s="42"/>
      <c r="J35" s="29"/>
      <c r="K35" s="24"/>
      <c r="L35" s="30"/>
    </row>
    <row r="36" spans="1:13" ht="15.6" x14ac:dyDescent="0.3">
      <c r="A36" s="45" t="s">
        <v>4</v>
      </c>
      <c r="B36" s="45">
        <v>9.09</v>
      </c>
      <c r="C36" s="45">
        <v>17.045454545454547</v>
      </c>
      <c r="D36" s="70">
        <v>47.482267725749978</v>
      </c>
      <c r="E36" s="54">
        <f>SUM(C36:D36)</f>
        <v>64.527722271204524</v>
      </c>
      <c r="F36" s="54">
        <f>E36*B36</f>
        <v>586.55699544524907</v>
      </c>
      <c r="G36" s="54">
        <f>F36/2</f>
        <v>293.27849772262454</v>
      </c>
      <c r="H36" s="109">
        <f>G36/100</f>
        <v>2.9327849772262455</v>
      </c>
      <c r="I36" s="78"/>
      <c r="J36" s="28"/>
      <c r="K36" s="24"/>
      <c r="L36" s="30"/>
    </row>
    <row r="37" spans="1:13" ht="15.6" x14ac:dyDescent="0.3">
      <c r="A37" s="45" t="s">
        <v>6</v>
      </c>
      <c r="B37" s="45">
        <v>4.55</v>
      </c>
      <c r="C37" s="45">
        <v>33.333333333333336</v>
      </c>
      <c r="D37" s="70">
        <v>91.407678244972573</v>
      </c>
      <c r="E37" s="54">
        <f t="shared" ref="E37:E55" si="4">SUM(C37:D37)</f>
        <v>124.74101157830592</v>
      </c>
      <c r="F37" s="54">
        <f t="shared" ref="F37:F55" si="5">E37*B37</f>
        <v>567.57160268129189</v>
      </c>
      <c r="G37" s="54">
        <f t="shared" ref="G37:G55" si="6">F37/2</f>
        <v>283.78580134064595</v>
      </c>
      <c r="H37" s="109">
        <f t="shared" ref="H37:H55" si="7">G37/100</f>
        <v>2.8378580134064593</v>
      </c>
      <c r="I37" s="78"/>
      <c r="J37" s="102"/>
      <c r="K37" s="31"/>
      <c r="L37" s="30"/>
    </row>
    <row r="38" spans="1:13" ht="15.6" x14ac:dyDescent="0.3">
      <c r="A38" s="45" t="s">
        <v>8</v>
      </c>
      <c r="B38" s="45">
        <v>9.09</v>
      </c>
      <c r="C38" s="45">
        <v>41.666666666666671</v>
      </c>
      <c r="D38" s="70">
        <v>64.230769230769226</v>
      </c>
      <c r="E38" s="54">
        <f t="shared" si="4"/>
        <v>105.8974358974359</v>
      </c>
      <c r="F38" s="54">
        <f t="shared" si="5"/>
        <v>962.60769230769233</v>
      </c>
      <c r="G38" s="54">
        <f t="shared" si="6"/>
        <v>481.30384615384617</v>
      </c>
      <c r="H38" s="109">
        <f t="shared" si="7"/>
        <v>4.8130384615384614</v>
      </c>
      <c r="I38" s="78"/>
      <c r="J38" s="105"/>
      <c r="K38" s="30"/>
      <c r="L38" s="30"/>
    </row>
    <row r="39" spans="1:13" ht="15.6" x14ac:dyDescent="0.3">
      <c r="A39" s="45" t="s">
        <v>10</v>
      </c>
      <c r="B39" s="45">
        <v>4.55</v>
      </c>
      <c r="C39" s="45">
        <v>33.333333333333336</v>
      </c>
      <c r="D39" s="70">
        <v>75</v>
      </c>
      <c r="E39" s="54">
        <f t="shared" si="4"/>
        <v>108.33333333333334</v>
      </c>
      <c r="F39" s="54">
        <f t="shared" si="5"/>
        <v>492.91666666666669</v>
      </c>
      <c r="G39" s="54">
        <f t="shared" si="6"/>
        <v>246.45833333333334</v>
      </c>
      <c r="H39" s="109">
        <f t="shared" si="7"/>
        <v>2.4645833333333336</v>
      </c>
      <c r="I39" s="78"/>
      <c r="J39" s="44"/>
      <c r="K39" s="30"/>
      <c r="L39" s="30"/>
    </row>
    <row r="40" spans="1:13" ht="15.6" x14ac:dyDescent="0.3">
      <c r="A40" s="45" t="s">
        <v>12</v>
      </c>
      <c r="B40" s="45">
        <v>4.55</v>
      </c>
      <c r="C40" s="45">
        <v>100</v>
      </c>
      <c r="D40" s="70">
        <v>100</v>
      </c>
      <c r="E40" s="54">
        <f t="shared" si="4"/>
        <v>200</v>
      </c>
      <c r="F40" s="54">
        <f t="shared" si="5"/>
        <v>910</v>
      </c>
      <c r="G40" s="54">
        <f t="shared" si="6"/>
        <v>455</v>
      </c>
      <c r="H40" s="109">
        <f t="shared" si="7"/>
        <v>4.55</v>
      </c>
      <c r="I40" s="107"/>
      <c r="J40" s="103"/>
      <c r="K40" s="30"/>
      <c r="L40" s="30"/>
    </row>
    <row r="41" spans="1:13" ht="15.6" x14ac:dyDescent="0.3">
      <c r="A41" s="45" t="s">
        <v>14</v>
      </c>
      <c r="B41" s="45">
        <v>31.82</v>
      </c>
      <c r="C41" s="45">
        <v>62.012987012987011</v>
      </c>
      <c r="D41" s="70">
        <v>60.854068037537338</v>
      </c>
      <c r="E41" s="54">
        <f t="shared" si="4"/>
        <v>122.86705505052436</v>
      </c>
      <c r="F41" s="54">
        <f t="shared" si="5"/>
        <v>3909.6296917076852</v>
      </c>
      <c r="G41" s="54">
        <f t="shared" si="6"/>
        <v>1954.8148458538426</v>
      </c>
      <c r="H41" s="109">
        <f t="shared" si="7"/>
        <v>19.548148458538424</v>
      </c>
      <c r="I41" s="108"/>
      <c r="J41" s="103"/>
    </row>
    <row r="42" spans="1:13" ht="15.6" x14ac:dyDescent="0.3">
      <c r="A42" s="45" t="s">
        <v>16</v>
      </c>
      <c r="B42" s="45">
        <v>4.55</v>
      </c>
      <c r="C42" s="45">
        <v>100</v>
      </c>
      <c r="D42" s="70">
        <v>100</v>
      </c>
      <c r="E42" s="54">
        <f t="shared" si="4"/>
        <v>200</v>
      </c>
      <c r="F42" s="54">
        <f t="shared" si="5"/>
        <v>910</v>
      </c>
      <c r="G42" s="54">
        <f t="shared" si="6"/>
        <v>455</v>
      </c>
      <c r="H42" s="109">
        <f t="shared" si="7"/>
        <v>4.55</v>
      </c>
      <c r="I42" s="108"/>
      <c r="J42" s="103"/>
    </row>
    <row r="43" spans="1:13" ht="15.6" x14ac:dyDescent="0.3">
      <c r="A43" s="45" t="s">
        <v>18</v>
      </c>
      <c r="B43" s="45">
        <v>9.09</v>
      </c>
      <c r="C43" s="45">
        <v>50</v>
      </c>
      <c r="D43" s="70">
        <v>21.042471042471043</v>
      </c>
      <c r="E43" s="54">
        <f t="shared" si="4"/>
        <v>71.04247104247105</v>
      </c>
      <c r="F43" s="54">
        <f t="shared" si="5"/>
        <v>645.77606177606185</v>
      </c>
      <c r="G43" s="54">
        <f t="shared" si="6"/>
        <v>322.88803088803093</v>
      </c>
      <c r="H43" s="109">
        <f t="shared" si="7"/>
        <v>3.2288803088803091</v>
      </c>
      <c r="I43" s="78"/>
      <c r="J43" s="103"/>
    </row>
    <row r="44" spans="1:13" ht="15.6" x14ac:dyDescent="0.3">
      <c r="A44" s="45" t="s">
        <v>71</v>
      </c>
      <c r="B44" s="45">
        <v>4.55</v>
      </c>
      <c r="C44" s="45">
        <v>25</v>
      </c>
      <c r="D44" s="70">
        <v>3.2037590773173856</v>
      </c>
      <c r="E44" s="54">
        <f t="shared" si="4"/>
        <v>28.203759077317386</v>
      </c>
      <c r="F44" s="54">
        <f t="shared" si="5"/>
        <v>128.3271038017941</v>
      </c>
      <c r="G44" s="54">
        <f t="shared" si="6"/>
        <v>64.163551900897048</v>
      </c>
      <c r="H44" s="109">
        <f t="shared" si="7"/>
        <v>0.64163551900897042</v>
      </c>
      <c r="I44" s="78"/>
      <c r="J44" s="104"/>
    </row>
    <row r="45" spans="1:13" ht="15.6" x14ac:dyDescent="0.3">
      <c r="A45" s="45" t="s">
        <v>22</v>
      </c>
      <c r="B45" s="45">
        <v>18.18</v>
      </c>
      <c r="C45" s="45">
        <v>54.166666666666671</v>
      </c>
      <c r="D45" s="70">
        <v>42.467948717948715</v>
      </c>
      <c r="E45" s="54">
        <f t="shared" si="4"/>
        <v>96.634615384615387</v>
      </c>
      <c r="F45" s="54">
        <f t="shared" si="5"/>
        <v>1756.8173076923076</v>
      </c>
      <c r="G45" s="54">
        <f t="shared" si="6"/>
        <v>878.40865384615381</v>
      </c>
      <c r="H45" s="109">
        <f t="shared" si="7"/>
        <v>8.7840865384615388</v>
      </c>
      <c r="I45" s="107"/>
      <c r="J45" s="104"/>
    </row>
    <row r="46" spans="1:13" ht="15.6" x14ac:dyDescent="0.3">
      <c r="A46" s="45" t="s">
        <v>24</v>
      </c>
      <c r="B46" s="45">
        <v>9.09</v>
      </c>
      <c r="C46" s="45">
        <v>54.545454545454547</v>
      </c>
      <c r="D46" s="70">
        <v>83.654876741693457</v>
      </c>
      <c r="E46" s="54">
        <f t="shared" si="4"/>
        <v>138.200331287148</v>
      </c>
      <c r="F46" s="54">
        <f t="shared" si="5"/>
        <v>1256.2410114001752</v>
      </c>
      <c r="G46" s="54">
        <f t="shared" si="6"/>
        <v>628.12050570008762</v>
      </c>
      <c r="H46" s="109">
        <f t="shared" si="7"/>
        <v>6.2812050570008759</v>
      </c>
      <c r="I46" s="78"/>
      <c r="J46" s="104"/>
    </row>
    <row r="47" spans="1:13" ht="15.6" x14ac:dyDescent="0.3">
      <c r="A47" s="45" t="s">
        <v>26</v>
      </c>
      <c r="B47" s="45">
        <v>4.55</v>
      </c>
      <c r="C47" s="45">
        <v>100</v>
      </c>
      <c r="D47" s="70">
        <v>100</v>
      </c>
      <c r="E47" s="54">
        <f t="shared" si="4"/>
        <v>200</v>
      </c>
      <c r="F47" s="54">
        <f t="shared" si="5"/>
        <v>910</v>
      </c>
      <c r="G47" s="54">
        <f t="shared" si="6"/>
        <v>455</v>
      </c>
      <c r="H47" s="109">
        <f t="shared" si="7"/>
        <v>4.55</v>
      </c>
      <c r="I47" s="78"/>
      <c r="J47" s="103"/>
    </row>
    <row r="48" spans="1:13" ht="15.6" x14ac:dyDescent="0.3">
      <c r="A48" s="45" t="s">
        <v>28</v>
      </c>
      <c r="B48" s="45">
        <v>4.55</v>
      </c>
      <c r="C48" s="45">
        <v>50</v>
      </c>
      <c r="D48" s="70">
        <v>64.837049742710121</v>
      </c>
      <c r="E48" s="54">
        <f t="shared" si="4"/>
        <v>114.83704974271012</v>
      </c>
      <c r="F48" s="54">
        <f t="shared" si="5"/>
        <v>522.50857632933105</v>
      </c>
      <c r="G48" s="54">
        <f t="shared" si="6"/>
        <v>261.25428816466552</v>
      </c>
      <c r="H48" s="109">
        <f t="shared" si="7"/>
        <v>2.6125428816466552</v>
      </c>
      <c r="I48" s="78"/>
      <c r="J48" s="103"/>
    </row>
    <row r="49" spans="1:10" ht="15.6" x14ac:dyDescent="0.3">
      <c r="A49" s="45" t="s">
        <v>30</v>
      </c>
      <c r="B49" s="45">
        <v>9.09</v>
      </c>
      <c r="C49" s="45">
        <v>75</v>
      </c>
      <c r="D49" s="70">
        <v>93.243243243243242</v>
      </c>
      <c r="E49" s="54">
        <f t="shared" si="4"/>
        <v>168.24324324324323</v>
      </c>
      <c r="F49" s="54">
        <f t="shared" si="5"/>
        <v>1529.3310810810808</v>
      </c>
      <c r="G49" s="54">
        <f t="shared" si="6"/>
        <v>764.66554054054041</v>
      </c>
      <c r="H49" s="109">
        <f t="shared" si="7"/>
        <v>7.6466554054054043</v>
      </c>
      <c r="I49" s="78"/>
      <c r="J49" s="103"/>
    </row>
    <row r="50" spans="1:10" ht="15.6" x14ac:dyDescent="0.3">
      <c r="A50" s="45" t="s">
        <v>72</v>
      </c>
      <c r="B50" s="19">
        <v>4.55</v>
      </c>
      <c r="C50" s="45">
        <v>36.363636363636367</v>
      </c>
      <c r="D50" s="70">
        <v>1.1521972132904608</v>
      </c>
      <c r="E50" s="54">
        <f t="shared" si="4"/>
        <v>37.515833576926831</v>
      </c>
      <c r="F50" s="54">
        <f t="shared" si="5"/>
        <v>170.69704277501708</v>
      </c>
      <c r="G50" s="54">
        <f t="shared" si="6"/>
        <v>85.348521387508541</v>
      </c>
      <c r="H50" s="109">
        <f t="shared" si="7"/>
        <v>0.85348521387508536</v>
      </c>
      <c r="I50" s="78"/>
      <c r="J50" s="103"/>
    </row>
    <row r="51" spans="1:10" ht="15.6" x14ac:dyDescent="0.3">
      <c r="A51" s="45" t="s">
        <v>73</v>
      </c>
      <c r="B51" s="19">
        <v>22.73</v>
      </c>
      <c r="C51" s="45">
        <v>45.151515151515156</v>
      </c>
      <c r="D51" s="70">
        <v>42.50795945858254</v>
      </c>
      <c r="E51" s="54">
        <f t="shared" si="4"/>
        <v>87.659474610097703</v>
      </c>
      <c r="F51" s="54">
        <f t="shared" si="5"/>
        <v>1992.4998578875209</v>
      </c>
      <c r="G51" s="54">
        <f t="shared" si="6"/>
        <v>996.24992894376044</v>
      </c>
      <c r="H51" s="109">
        <f t="shared" si="7"/>
        <v>9.9624992894376039</v>
      </c>
      <c r="I51" s="78"/>
      <c r="J51" s="103"/>
    </row>
    <row r="52" spans="1:10" ht="15.6" x14ac:dyDescent="0.3">
      <c r="A52" s="45" t="s">
        <v>36</v>
      </c>
      <c r="B52" s="19">
        <v>9.09</v>
      </c>
      <c r="C52" s="45">
        <v>41.666666666666671</v>
      </c>
      <c r="D52" s="70">
        <v>32.159090909090907</v>
      </c>
      <c r="E52" s="54">
        <f t="shared" si="4"/>
        <v>73.825757575757578</v>
      </c>
      <c r="F52" s="54">
        <f t="shared" si="5"/>
        <v>671.07613636363635</v>
      </c>
      <c r="G52" s="54">
        <f t="shared" si="6"/>
        <v>335.53806818181818</v>
      </c>
      <c r="H52" s="109">
        <f t="shared" si="7"/>
        <v>3.3553806818181817</v>
      </c>
      <c r="I52" s="78"/>
      <c r="J52" s="103"/>
    </row>
    <row r="53" spans="1:10" ht="15.6" x14ac:dyDescent="0.3">
      <c r="A53" s="45" t="s">
        <v>38</v>
      </c>
      <c r="B53" s="18">
        <v>4.55</v>
      </c>
      <c r="C53" s="45">
        <v>18.181818181818183</v>
      </c>
      <c r="D53" s="70">
        <v>2.0096463022508035</v>
      </c>
      <c r="E53" s="54">
        <f t="shared" si="4"/>
        <v>20.191464484068987</v>
      </c>
      <c r="F53" s="54">
        <f t="shared" si="5"/>
        <v>91.871163402513886</v>
      </c>
      <c r="G53" s="54">
        <f t="shared" si="6"/>
        <v>45.935581701256943</v>
      </c>
      <c r="H53" s="109">
        <f t="shared" si="7"/>
        <v>0.45935581701256945</v>
      </c>
      <c r="I53" s="78"/>
      <c r="J53" s="103"/>
    </row>
    <row r="54" spans="1:10" ht="15.6" x14ac:dyDescent="0.3">
      <c r="A54" s="45" t="s">
        <v>40</v>
      </c>
      <c r="B54" s="18">
        <v>9.09</v>
      </c>
      <c r="C54" s="70">
        <v>29.166666666666668</v>
      </c>
      <c r="D54" s="70">
        <v>6.3740553693908826</v>
      </c>
      <c r="E54" s="54">
        <f t="shared" si="4"/>
        <v>35.540722036057552</v>
      </c>
      <c r="F54" s="54">
        <f t="shared" si="5"/>
        <v>323.06516330776316</v>
      </c>
      <c r="G54" s="54">
        <f t="shared" si="6"/>
        <v>161.53258165388158</v>
      </c>
      <c r="H54" s="109">
        <f t="shared" si="7"/>
        <v>1.6153258165388158</v>
      </c>
      <c r="I54" s="78"/>
      <c r="J54" s="103"/>
    </row>
    <row r="55" spans="1:10" ht="15.6" x14ac:dyDescent="0.3">
      <c r="A55" s="45" t="s">
        <v>42</v>
      </c>
      <c r="B55" s="18">
        <v>18.18</v>
      </c>
      <c r="C55" s="70">
        <v>52.272727272727273</v>
      </c>
      <c r="D55" s="70">
        <v>39.40651311679305</v>
      </c>
      <c r="E55" s="54">
        <f t="shared" si="4"/>
        <v>91.679240389520317</v>
      </c>
      <c r="F55" s="54">
        <f t="shared" si="5"/>
        <v>1666.7285902814792</v>
      </c>
      <c r="G55" s="54">
        <f t="shared" si="6"/>
        <v>833.36429514073961</v>
      </c>
      <c r="H55" s="109">
        <f t="shared" si="7"/>
        <v>8.3336429514073966</v>
      </c>
      <c r="I55" s="78"/>
      <c r="J55" s="103"/>
    </row>
    <row r="56" spans="1:10" ht="15.6" x14ac:dyDescent="0.3">
      <c r="I56" s="78"/>
      <c r="J56" s="103"/>
    </row>
    <row r="57" spans="1:10" ht="15.6" x14ac:dyDescent="0.3">
      <c r="I57" s="57"/>
      <c r="J57" s="103"/>
    </row>
    <row r="58" spans="1:10" ht="15.6" x14ac:dyDescent="0.3">
      <c r="I58" s="57"/>
      <c r="J58" s="103"/>
    </row>
    <row r="59" spans="1:10" ht="15.6" x14ac:dyDescent="0.3">
      <c r="I59" s="57"/>
      <c r="J59" s="103"/>
    </row>
    <row r="60" spans="1:10" ht="15.6" x14ac:dyDescent="0.3">
      <c r="I60" s="57"/>
      <c r="J60" s="44"/>
    </row>
    <row r="61" spans="1:10" ht="15.6" x14ac:dyDescent="0.3">
      <c r="I61" s="57"/>
      <c r="J61" s="44"/>
    </row>
    <row r="62" spans="1:10" ht="15.6" x14ac:dyDescent="0.3">
      <c r="I62" s="78"/>
      <c r="J62" s="44"/>
    </row>
    <row r="63" spans="1:10" ht="15.6" x14ac:dyDescent="0.3">
      <c r="I63" s="106"/>
      <c r="J63" s="57"/>
    </row>
    <row r="64" spans="1:10" x14ac:dyDescent="0.3">
      <c r="I64" s="106"/>
      <c r="J64" s="55"/>
    </row>
    <row r="65" spans="9:10" x14ac:dyDescent="0.3">
      <c r="I65" s="106"/>
      <c r="J65" s="106"/>
    </row>
    <row r="66" spans="9:10" x14ac:dyDescent="0.3">
      <c r="I66" s="106"/>
      <c r="J66" s="106"/>
    </row>
    <row r="67" spans="9:10" x14ac:dyDescent="0.3">
      <c r="I67" s="106"/>
      <c r="J67" s="106"/>
    </row>
    <row r="68" spans="9:10" x14ac:dyDescent="0.3">
      <c r="I68" s="106"/>
      <c r="J68" s="106"/>
    </row>
    <row r="69" spans="9:10" x14ac:dyDescent="0.3">
      <c r="I69" s="106"/>
      <c r="J69" s="106"/>
    </row>
    <row r="70" spans="9:10" x14ac:dyDescent="0.3">
      <c r="I70" s="106"/>
      <c r="J70" s="106"/>
    </row>
  </sheetData>
  <mergeCells count="10">
    <mergeCell ref="A33:D33"/>
    <mergeCell ref="J27:L29"/>
    <mergeCell ref="J1:K1"/>
    <mergeCell ref="L1:M1"/>
    <mergeCell ref="P1:Q1"/>
    <mergeCell ref="B1:C1"/>
    <mergeCell ref="D1:E1"/>
    <mergeCell ref="N1:O1"/>
    <mergeCell ref="B30:C30"/>
    <mergeCell ref="D30:E30"/>
  </mergeCell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showGridLines="0" workbookViewId="0">
      <selection activeCell="B1" sqref="B1"/>
    </sheetView>
  </sheetViews>
  <sheetFormatPr defaultRowHeight="14.4" x14ac:dyDescent="0.3"/>
  <cols>
    <col min="1" max="1" width="24.44140625" customWidth="1"/>
    <col min="2" max="3" width="16.33203125" style="52" customWidth="1"/>
    <col min="4" max="4" width="21.109375" customWidth="1"/>
    <col min="5" max="5" width="16" customWidth="1"/>
    <col min="6" max="6" width="15.88671875" customWidth="1"/>
    <col min="7" max="7" width="15.109375" customWidth="1"/>
    <col min="8" max="9" width="15.5546875" customWidth="1"/>
    <col min="10" max="10" width="13" customWidth="1"/>
    <col min="11" max="11" width="11.6640625" customWidth="1"/>
    <col min="12" max="12" width="13.44140625" customWidth="1"/>
  </cols>
  <sheetData>
    <row r="1" spans="1:13" ht="15.6" x14ac:dyDescent="0.3">
      <c r="A1" s="95" t="s">
        <v>97</v>
      </c>
      <c r="B1" s="59">
        <v>17.59</v>
      </c>
      <c r="C1" s="115"/>
      <c r="D1" s="119"/>
      <c r="E1" s="119" t="s">
        <v>97</v>
      </c>
      <c r="F1" s="119" t="s">
        <v>132</v>
      </c>
      <c r="G1" s="119" t="s">
        <v>133</v>
      </c>
      <c r="H1" s="119" t="s">
        <v>20</v>
      </c>
      <c r="I1" s="30"/>
      <c r="J1" s="120"/>
      <c r="K1" s="119" t="s">
        <v>134</v>
      </c>
      <c r="L1" s="120"/>
      <c r="M1" s="119" t="s">
        <v>134</v>
      </c>
    </row>
    <row r="2" spans="1:13" ht="15.6" x14ac:dyDescent="0.3">
      <c r="A2" s="71" t="s">
        <v>100</v>
      </c>
      <c r="B2" s="58">
        <v>2.93</v>
      </c>
      <c r="C2" s="116"/>
      <c r="D2" s="119" t="s">
        <v>135</v>
      </c>
      <c r="E2" s="119">
        <v>2.93</v>
      </c>
      <c r="F2" s="119"/>
      <c r="G2" s="119"/>
      <c r="H2" s="119"/>
      <c r="I2" s="30"/>
      <c r="J2" s="71" t="s">
        <v>118</v>
      </c>
      <c r="K2" s="94">
        <v>0.85</v>
      </c>
      <c r="L2" s="71" t="s">
        <v>118</v>
      </c>
      <c r="M2" s="94">
        <v>10.81</v>
      </c>
    </row>
    <row r="3" spans="1:13" ht="15.6" x14ac:dyDescent="0.3">
      <c r="A3" s="71" t="s">
        <v>101</v>
      </c>
      <c r="B3" s="60">
        <v>14.66</v>
      </c>
      <c r="C3" s="117"/>
      <c r="D3" s="119" t="s">
        <v>12</v>
      </c>
      <c r="E3" s="119">
        <v>4.55</v>
      </c>
      <c r="F3" s="119"/>
      <c r="G3" s="119"/>
      <c r="H3" s="119"/>
      <c r="I3" s="30"/>
      <c r="J3" s="37" t="s">
        <v>119</v>
      </c>
      <c r="K3" s="94">
        <v>6.28</v>
      </c>
      <c r="L3" s="37" t="s">
        <v>119</v>
      </c>
      <c r="M3" s="94">
        <v>6.28</v>
      </c>
    </row>
    <row r="4" spans="1:13" ht="15.6" x14ac:dyDescent="0.3">
      <c r="A4" s="71" t="s">
        <v>102</v>
      </c>
      <c r="B4" s="58">
        <v>2.84</v>
      </c>
      <c r="C4" s="116"/>
      <c r="D4" s="119" t="s">
        <v>136</v>
      </c>
      <c r="E4" s="119">
        <v>4.8099999999999996</v>
      </c>
      <c r="F4" s="119"/>
      <c r="G4" s="119"/>
      <c r="H4" s="119"/>
      <c r="I4" s="30"/>
      <c r="J4" s="37" t="s">
        <v>120</v>
      </c>
      <c r="K4" s="94">
        <v>4.55</v>
      </c>
      <c r="L4" s="37" t="s">
        <v>120</v>
      </c>
      <c r="M4" s="94">
        <v>4.55</v>
      </c>
    </row>
    <row r="5" spans="1:13" ht="15.6" x14ac:dyDescent="0.3">
      <c r="A5" s="96" t="s">
        <v>103</v>
      </c>
      <c r="B5" s="58">
        <v>4.55</v>
      </c>
      <c r="C5" s="116"/>
      <c r="D5" s="119" t="s">
        <v>137</v>
      </c>
      <c r="E5" s="119">
        <v>2.46</v>
      </c>
      <c r="F5" s="119"/>
      <c r="G5" s="119"/>
      <c r="H5" s="119"/>
      <c r="I5" s="30"/>
      <c r="J5" s="37" t="s">
        <v>121</v>
      </c>
      <c r="K5" s="94">
        <v>2.61</v>
      </c>
      <c r="L5" s="37" t="s">
        <v>121</v>
      </c>
      <c r="M5" s="94">
        <v>2.61</v>
      </c>
    </row>
    <row r="6" spans="1:13" ht="15.6" x14ac:dyDescent="0.3">
      <c r="A6" s="93" t="s">
        <v>104</v>
      </c>
      <c r="B6" s="58">
        <v>4.8099999999999996</v>
      </c>
      <c r="C6" s="116"/>
      <c r="D6" s="119" t="s">
        <v>138</v>
      </c>
      <c r="E6" s="119"/>
      <c r="F6" s="119">
        <v>19.55</v>
      </c>
      <c r="G6" s="119"/>
      <c r="H6" s="119"/>
      <c r="I6" s="30"/>
      <c r="J6" s="37" t="s">
        <v>122</v>
      </c>
      <c r="K6" s="94">
        <v>7.65</v>
      </c>
      <c r="L6" s="37" t="s">
        <v>122</v>
      </c>
      <c r="M6" s="94">
        <v>7.65</v>
      </c>
    </row>
    <row r="7" spans="1:13" ht="15.6" x14ac:dyDescent="0.3">
      <c r="A7" s="93" t="s">
        <v>105</v>
      </c>
      <c r="B7" s="58">
        <v>2.46</v>
      </c>
      <c r="C7" s="116"/>
      <c r="D7" s="119" t="s">
        <v>139</v>
      </c>
      <c r="E7" s="119"/>
      <c r="F7" s="119">
        <v>4.55</v>
      </c>
      <c r="G7" s="119"/>
      <c r="H7" s="119"/>
      <c r="I7" s="30"/>
      <c r="J7" s="37" t="s">
        <v>124</v>
      </c>
      <c r="K7" s="94">
        <v>8.7799999999999994</v>
      </c>
      <c r="L7" s="37" t="s">
        <v>124</v>
      </c>
      <c r="M7" s="94">
        <v>8.7799999999999994</v>
      </c>
    </row>
    <row r="8" spans="1:13" ht="15.6" x14ac:dyDescent="0.3">
      <c r="A8" s="95" t="s">
        <v>106</v>
      </c>
      <c r="B8" s="58">
        <v>24.1</v>
      </c>
      <c r="C8" s="116"/>
      <c r="D8" s="119" t="s">
        <v>18</v>
      </c>
      <c r="E8" s="119"/>
      <c r="F8" s="119"/>
      <c r="G8" s="119">
        <v>3.23</v>
      </c>
      <c r="H8" s="119"/>
      <c r="I8" s="30"/>
    </row>
    <row r="9" spans="1:13" ht="15.6" x14ac:dyDescent="0.3">
      <c r="A9" s="95" t="s">
        <v>107</v>
      </c>
      <c r="B9" s="60">
        <v>19.55</v>
      </c>
      <c r="C9" s="117"/>
      <c r="D9" s="119" t="s">
        <v>36</v>
      </c>
      <c r="E9" s="119"/>
      <c r="F9" s="119"/>
      <c r="G9" s="119">
        <v>5.44</v>
      </c>
      <c r="H9" s="119"/>
      <c r="I9" s="30"/>
      <c r="K9" s="119" t="s">
        <v>140</v>
      </c>
    </row>
    <row r="10" spans="1:13" ht="16.2" x14ac:dyDescent="0.35">
      <c r="A10" s="97" t="s">
        <v>108</v>
      </c>
      <c r="B10" s="58">
        <v>4.55</v>
      </c>
      <c r="C10" s="116"/>
      <c r="D10" s="119" t="s">
        <v>71</v>
      </c>
      <c r="E10" s="119"/>
      <c r="F10" s="119"/>
      <c r="G10" s="119"/>
      <c r="H10" s="119">
        <v>0.64</v>
      </c>
      <c r="I10" s="30"/>
      <c r="J10" s="119" t="s">
        <v>12</v>
      </c>
      <c r="K10" s="119">
        <v>4.55</v>
      </c>
    </row>
    <row r="11" spans="1:13" ht="15.6" x14ac:dyDescent="0.3">
      <c r="A11" s="95" t="s">
        <v>109</v>
      </c>
      <c r="B11" s="60">
        <v>8.67</v>
      </c>
      <c r="C11" s="117"/>
      <c r="D11" s="119" t="s">
        <v>141</v>
      </c>
      <c r="E11" s="119"/>
      <c r="F11" s="119"/>
      <c r="G11" s="119"/>
      <c r="H11" s="119">
        <v>9.9600000000000009</v>
      </c>
      <c r="J11" s="119" t="s">
        <v>136</v>
      </c>
      <c r="K11" s="119">
        <v>4.8099999999999996</v>
      </c>
    </row>
    <row r="12" spans="1:13" ht="15.6" x14ac:dyDescent="0.3">
      <c r="A12" s="71" t="s">
        <v>110</v>
      </c>
      <c r="B12" s="58">
        <v>3.23</v>
      </c>
      <c r="C12" s="116"/>
      <c r="D12" s="119" t="s">
        <v>134</v>
      </c>
      <c r="E12" s="119"/>
      <c r="F12" s="119"/>
      <c r="G12" s="119"/>
      <c r="H12" s="119">
        <v>30.72</v>
      </c>
      <c r="J12" s="119" t="s">
        <v>137</v>
      </c>
      <c r="K12" s="119">
        <v>2.46</v>
      </c>
    </row>
    <row r="13" spans="1:13" ht="15.6" x14ac:dyDescent="0.3">
      <c r="A13" s="71" t="s">
        <v>111</v>
      </c>
      <c r="B13" s="58">
        <v>5.4399999999999995</v>
      </c>
      <c r="C13" s="116"/>
    </row>
    <row r="14" spans="1:13" ht="15.6" x14ac:dyDescent="0.3">
      <c r="A14" s="95" t="s">
        <v>112</v>
      </c>
      <c r="B14" s="58">
        <v>3.36</v>
      </c>
      <c r="C14" s="116"/>
      <c r="D14" s="119"/>
      <c r="E14" s="119" t="s">
        <v>97</v>
      </c>
      <c r="F14" s="119" t="s">
        <v>132</v>
      </c>
      <c r="G14" s="119" t="s">
        <v>133</v>
      </c>
      <c r="H14" s="119" t="s">
        <v>20</v>
      </c>
    </row>
    <row r="15" spans="1:13" ht="15.6" x14ac:dyDescent="0.3">
      <c r="A15" s="71" t="s">
        <v>113</v>
      </c>
      <c r="B15" s="58">
        <v>0.46</v>
      </c>
      <c r="C15" s="116"/>
      <c r="D15" s="119" t="s">
        <v>12</v>
      </c>
      <c r="E15" s="119">
        <v>4.55</v>
      </c>
      <c r="F15" s="119"/>
      <c r="G15" s="119"/>
      <c r="H15" s="119"/>
    </row>
    <row r="16" spans="1:13" ht="15.6" x14ac:dyDescent="0.3">
      <c r="A16" s="95" t="s">
        <v>114</v>
      </c>
      <c r="B16" s="58">
        <v>1.62</v>
      </c>
      <c r="C16" s="116"/>
      <c r="D16" s="119" t="s">
        <v>136</v>
      </c>
      <c r="E16" s="119">
        <v>4.8099999999999996</v>
      </c>
      <c r="F16" s="119"/>
      <c r="G16" s="119"/>
      <c r="H16" s="119"/>
    </row>
    <row r="17" spans="1:8" ht="15.6" x14ac:dyDescent="0.3">
      <c r="A17" s="95" t="s">
        <v>20</v>
      </c>
      <c r="B17" s="60">
        <v>41.32</v>
      </c>
      <c r="C17" s="117"/>
      <c r="D17" s="119" t="s">
        <v>137</v>
      </c>
      <c r="E17" s="119">
        <v>2.46</v>
      </c>
      <c r="F17" s="119"/>
      <c r="G17" s="119"/>
      <c r="H17" s="119"/>
    </row>
    <row r="18" spans="1:8" ht="15.6" x14ac:dyDescent="0.3">
      <c r="A18" s="71" t="s">
        <v>115</v>
      </c>
      <c r="B18" s="58">
        <v>0.64</v>
      </c>
      <c r="C18" s="116"/>
      <c r="D18" s="119" t="s">
        <v>138</v>
      </c>
      <c r="E18" s="119"/>
      <c r="F18" s="119">
        <v>19.55</v>
      </c>
      <c r="G18" s="119"/>
      <c r="H18" s="119"/>
    </row>
    <row r="19" spans="1:8" ht="15.6" x14ac:dyDescent="0.3">
      <c r="A19" s="71" t="s">
        <v>116</v>
      </c>
      <c r="B19" s="58">
        <v>9.9600000000000009</v>
      </c>
      <c r="C19" s="116"/>
      <c r="D19" s="119" t="s">
        <v>139</v>
      </c>
      <c r="E19" s="119"/>
      <c r="F19" s="119">
        <v>4.55</v>
      </c>
      <c r="G19" s="119"/>
      <c r="H19" s="119"/>
    </row>
    <row r="20" spans="1:8" ht="15.6" x14ac:dyDescent="0.3">
      <c r="A20" s="71" t="s">
        <v>117</v>
      </c>
      <c r="B20" s="60">
        <v>30.72</v>
      </c>
      <c r="C20" s="116">
        <f>SUM(B19:B20)</f>
        <v>40.68</v>
      </c>
      <c r="D20" s="119" t="s">
        <v>18</v>
      </c>
      <c r="E20" s="119"/>
      <c r="F20" s="119"/>
      <c r="G20" s="119">
        <v>3.23</v>
      </c>
      <c r="H20" s="119"/>
    </row>
    <row r="21" spans="1:8" ht="15.6" x14ac:dyDescent="0.3">
      <c r="A21" s="71" t="s">
        <v>118</v>
      </c>
      <c r="B21" s="94">
        <v>0.85</v>
      </c>
      <c r="C21" s="118">
        <f>SUM(B21,B19)</f>
        <v>10.81</v>
      </c>
      <c r="D21" s="119" t="s">
        <v>36</v>
      </c>
      <c r="E21" s="119"/>
      <c r="F21" s="119"/>
      <c r="G21" s="119">
        <v>5.44</v>
      </c>
      <c r="H21" s="119"/>
    </row>
    <row r="22" spans="1:8" ht="15.6" x14ac:dyDescent="0.3">
      <c r="A22" s="37" t="s">
        <v>119</v>
      </c>
      <c r="B22" s="94">
        <v>6.28</v>
      </c>
      <c r="C22" s="118"/>
      <c r="D22" s="119" t="s">
        <v>71</v>
      </c>
      <c r="E22" s="119"/>
      <c r="F22" s="119"/>
      <c r="G22" s="119"/>
      <c r="H22" s="119">
        <v>0.64</v>
      </c>
    </row>
    <row r="23" spans="1:8" ht="15.6" x14ac:dyDescent="0.3">
      <c r="A23" s="37" t="s">
        <v>120</v>
      </c>
      <c r="B23" s="94">
        <v>4.55</v>
      </c>
      <c r="C23" s="118"/>
      <c r="D23" s="119" t="s">
        <v>134</v>
      </c>
      <c r="E23" s="119"/>
      <c r="F23" s="119"/>
      <c r="G23" s="119"/>
      <c r="H23" s="119">
        <v>40.68</v>
      </c>
    </row>
    <row r="24" spans="1:8" ht="15.6" x14ac:dyDescent="0.3">
      <c r="A24" s="37" t="s">
        <v>121</v>
      </c>
      <c r="B24" s="94">
        <v>2.61</v>
      </c>
      <c r="C24" s="118"/>
    </row>
    <row r="25" spans="1:8" ht="15.6" x14ac:dyDescent="0.3">
      <c r="A25" s="37" t="s">
        <v>122</v>
      </c>
      <c r="B25" s="94">
        <v>7.65</v>
      </c>
      <c r="C25" s="118"/>
    </row>
    <row r="26" spans="1:8" ht="15.6" x14ac:dyDescent="0.3">
      <c r="A26" s="37" t="s">
        <v>124</v>
      </c>
      <c r="B26" s="94">
        <v>8.7799999999999994</v>
      </c>
      <c r="C26" s="118"/>
    </row>
    <row r="27" spans="1:8" ht="15.6" x14ac:dyDescent="0.3">
      <c r="A27" s="95" t="s">
        <v>79</v>
      </c>
      <c r="B27" s="94">
        <v>8.33</v>
      </c>
      <c r="C27" s="118"/>
    </row>
  </sheetData>
  <conditionalFormatting sqref="A3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{C14A1040-B124-4EA0-975C-8BB0EDB26A07}</x14:id>
        </ext>
      </extLst>
    </cfRule>
  </conditionalFormatting>
  <conditionalFormatting sqref="D3:D1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{D059869C-EE30-44A8-965D-3713B11B5532}</x14:id>
        </ext>
      </extLst>
    </cfRule>
  </conditionalFormatting>
  <conditionalFormatting sqref="D15:D2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{5E5B7BBB-BC4E-424E-B5E1-466FEA57A940}</x14:id>
        </ext>
      </extLst>
    </cfRule>
  </conditionalFormatting>
  <conditionalFormatting sqref="J10:J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{CC01D430-0331-478B-BDEC-2B008D359D97}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4A1040-B124-4EA0-975C-8BB0EDB26A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</xm:sqref>
        </x14:conditionalFormatting>
        <x14:conditionalFormatting xmlns:xm="http://schemas.microsoft.com/office/excel/2006/main">
          <x14:cfRule type="dataBar" id="{D059869C-EE30-44A8-965D-3713B11B55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D3:D12</xm:sqref>
        </x14:conditionalFormatting>
        <x14:conditionalFormatting xmlns:xm="http://schemas.microsoft.com/office/excel/2006/main">
          <x14:cfRule type="dataBar" id="{5E5B7BBB-BC4E-424E-B5E1-466FEA57A9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D15:D23</xm:sqref>
        </x14:conditionalFormatting>
        <x14:conditionalFormatting xmlns:xm="http://schemas.microsoft.com/office/excel/2006/main">
          <x14:cfRule type="dataBar" id="{CC01D430-0331-478B-BDEC-2B008D359D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J10:J12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Planilha Inicial</vt:lpstr>
      <vt:lpstr>Teiu_Volume</vt:lpstr>
      <vt:lpstr>tegu_vol</vt:lpstr>
      <vt:lpstr>Teiu_Abundancia</vt:lpstr>
      <vt:lpstr>tegu_abund</vt:lpstr>
      <vt:lpstr>PSIRI Teiu</vt:lpstr>
      <vt:lpstr>Gráficos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Tatiane Micheletti Ribeiro Silva</cp:lastModifiedBy>
  <cp:revision/>
  <dcterms:created xsi:type="dcterms:W3CDTF">2017-03-27T19:52:56Z</dcterms:created>
  <dcterms:modified xsi:type="dcterms:W3CDTF">2026-07-14T08:56:23Z</dcterms:modified>
  <cp:category/>
  <cp:contentStatus/>
</cp:coreProperties>
</file>