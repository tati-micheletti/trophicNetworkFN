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let\Documents\GitHub\trophicNetworkFN\data\original\"/>
    </mc:Choice>
  </mc:AlternateContent>
  <xr:revisionPtr revIDLastSave="0" documentId="13_ncr:1_{B836A851-6873-4CD0-909A-0AF86A918C6E}" xr6:coauthVersionLast="47" xr6:coauthVersionMax="47" xr10:uidLastSave="{00000000-0000-0000-0000-000000000000}"/>
  <bookViews>
    <workbookView xWindow="-108" yWindow="-108" windowWidth="23256" windowHeight="13896" tabRatio="714" activeTab="2" xr2:uid="{00000000-000D-0000-FFFF-FFFF00000000}"/>
  </bookViews>
  <sheets>
    <sheet name="Planilha inicial" sheetId="7" r:id="rId1"/>
    <sheet name="Fezes Gato_Volume" sheetId="1" r:id="rId2"/>
    <sheet name="cats_vol" sheetId="13" r:id="rId3"/>
    <sheet name="Fezes Gato_Abundância" sheetId="5" r:id="rId4"/>
    <sheet name="cats_abund" sheetId="12" r:id="rId5"/>
    <sheet name="Gato -sem vegetal-" sheetId="8" r:id="rId6"/>
    <sheet name="PSIRI Gato" sheetId="4" r:id="rId7"/>
    <sheet name="Planilha1" sheetId="11" r:id="rId8"/>
    <sheet name="gráficos" sheetId="10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2" i="8" l="1"/>
  <c r="D162" i="8"/>
  <c r="E162" i="8"/>
  <c r="F162" i="8"/>
  <c r="G162" i="8"/>
  <c r="H162" i="8"/>
  <c r="I162" i="8"/>
  <c r="J162" i="8"/>
  <c r="K162" i="8"/>
  <c r="L162" i="8"/>
  <c r="K165" i="8" s="1"/>
  <c r="M162" i="8"/>
  <c r="N162" i="8"/>
  <c r="O162" i="8"/>
  <c r="P162" i="8"/>
  <c r="Q162" i="8"/>
  <c r="B162" i="8"/>
  <c r="B165" i="8" s="1"/>
  <c r="L11" i="4" l="1"/>
  <c r="L6" i="4"/>
  <c r="L5" i="4" s="1"/>
  <c r="L7" i="4"/>
  <c r="L8" i="4"/>
  <c r="L10" i="4"/>
  <c r="L12" i="4"/>
  <c r="L13" i="4"/>
  <c r="L14" i="4"/>
  <c r="L16" i="4"/>
  <c r="L17" i="4"/>
  <c r="L15" i="4" s="1"/>
  <c r="L19" i="4"/>
  <c r="L20" i="4"/>
  <c r="L18" i="4" s="1"/>
  <c r="L21" i="4"/>
  <c r="L22" i="4"/>
  <c r="L23" i="4"/>
  <c r="L4" i="4"/>
  <c r="E27" i="11"/>
  <c r="C27" i="11"/>
  <c r="E26" i="11"/>
  <c r="C26" i="11"/>
  <c r="E25" i="11"/>
  <c r="C25" i="11"/>
  <c r="J24" i="11"/>
  <c r="J28" i="11" s="1"/>
  <c r="D24" i="11"/>
  <c r="E24" i="11" s="1"/>
  <c r="C24" i="11"/>
  <c r="E23" i="11"/>
  <c r="C23" i="11"/>
  <c r="E22" i="11"/>
  <c r="C22" i="11"/>
  <c r="E21" i="11"/>
  <c r="C21" i="11"/>
  <c r="E20" i="11"/>
  <c r="C20" i="11"/>
  <c r="E19" i="11"/>
  <c r="C19" i="11"/>
  <c r="K18" i="11"/>
  <c r="K15" i="11" s="1"/>
  <c r="K28" i="11" s="1"/>
  <c r="J18" i="11"/>
  <c r="J15" i="11" s="1"/>
  <c r="D18" i="11"/>
  <c r="E18" i="11" s="1"/>
  <c r="C15" i="11"/>
  <c r="E17" i="11"/>
  <c r="C17" i="11"/>
  <c r="E16" i="11"/>
  <c r="C16" i="11"/>
  <c r="D15" i="11"/>
  <c r="E15" i="11" s="1"/>
  <c r="E14" i="11"/>
  <c r="C14" i="11"/>
  <c r="E13" i="11"/>
  <c r="C13" i="11"/>
  <c r="E12" i="11"/>
  <c r="C12" i="11"/>
  <c r="E11" i="11"/>
  <c r="C11" i="11"/>
  <c r="E10" i="11"/>
  <c r="C10" i="11"/>
  <c r="E9" i="11"/>
  <c r="C9" i="11"/>
  <c r="E8" i="11"/>
  <c r="C8" i="11"/>
  <c r="E7" i="11"/>
  <c r="C7" i="11"/>
  <c r="E6" i="11"/>
  <c r="C6" i="11"/>
  <c r="K5" i="11"/>
  <c r="J5" i="11"/>
  <c r="D5" i="11"/>
  <c r="E5" i="11" s="1"/>
  <c r="C5" i="11"/>
  <c r="E4" i="11"/>
  <c r="C4" i="11"/>
  <c r="K3" i="11"/>
  <c r="J3" i="11"/>
  <c r="D3" i="11"/>
  <c r="E3" i="11" s="1"/>
  <c r="C3" i="11"/>
  <c r="L3" i="4" l="1"/>
  <c r="L25" i="4" s="1"/>
  <c r="C18" i="11"/>
  <c r="K5" i="4" l="1"/>
  <c r="K3" i="4"/>
  <c r="K28" i="4" s="1"/>
  <c r="K18" i="4"/>
  <c r="K15" i="4"/>
  <c r="V26" i="4"/>
  <c r="W26" i="4"/>
  <c r="X26" i="4"/>
  <c r="Y26" i="4" s="1"/>
  <c r="V27" i="4"/>
  <c r="W27" i="4"/>
  <c r="X27" i="4"/>
  <c r="Y27" i="4"/>
  <c r="V28" i="4"/>
  <c r="W28" i="4"/>
  <c r="X28" i="4" s="1"/>
  <c r="Y28" i="4" s="1"/>
  <c r="V29" i="4"/>
  <c r="W29" i="4"/>
  <c r="X29" i="4"/>
  <c r="Y29" i="4" s="1"/>
  <c r="V30" i="4"/>
  <c r="W30" i="4" s="1"/>
  <c r="X30" i="4" s="1"/>
  <c r="Y30" i="4" s="1"/>
  <c r="V31" i="4"/>
  <c r="W31" i="4"/>
  <c r="X31" i="4" s="1"/>
  <c r="Y31" i="4" s="1"/>
  <c r="V32" i="4"/>
  <c r="W32" i="4"/>
  <c r="X32" i="4"/>
  <c r="Y32" i="4" s="1"/>
  <c r="V33" i="4"/>
  <c r="W33" i="4"/>
  <c r="X33" i="4"/>
  <c r="Y33" i="4" s="1"/>
  <c r="V34" i="4"/>
  <c r="W34" i="4"/>
  <c r="X34" i="4" s="1"/>
  <c r="Y34" i="4" s="1"/>
  <c r="V35" i="4"/>
  <c r="W35" i="4"/>
  <c r="X35" i="4"/>
  <c r="Y35" i="4" s="1"/>
  <c r="V36" i="4"/>
  <c r="W36" i="4"/>
  <c r="X36" i="4"/>
  <c r="Y36" i="4" s="1"/>
  <c r="V37" i="4"/>
  <c r="W37" i="4"/>
  <c r="X37" i="4" s="1"/>
  <c r="Y37" i="4" s="1"/>
  <c r="V38" i="4"/>
  <c r="W38" i="4"/>
  <c r="X38" i="4"/>
  <c r="Y38" i="4" s="1"/>
  <c r="V39" i="4"/>
  <c r="W39" i="4"/>
  <c r="X39" i="4"/>
  <c r="Y39" i="4" s="1"/>
  <c r="V40" i="4"/>
  <c r="W40" i="4"/>
  <c r="X40" i="4" s="1"/>
  <c r="Y40" i="4" s="1"/>
  <c r="V25" i="4"/>
  <c r="W25" i="4"/>
  <c r="X25" i="4"/>
  <c r="Y25" i="4" s="1"/>
  <c r="AI2" i="8"/>
  <c r="AI3" i="8"/>
  <c r="AI4" i="8"/>
  <c r="AI5" i="8"/>
  <c r="AI6" i="8"/>
  <c r="AI7" i="8"/>
  <c r="AI8" i="8"/>
  <c r="AI9" i="8"/>
  <c r="AI10" i="8"/>
  <c r="AI11" i="8"/>
  <c r="AI12" i="8"/>
  <c r="P80" i="8"/>
  <c r="Q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B80" i="8"/>
  <c r="R84" i="8"/>
  <c r="R85" i="8"/>
  <c r="R86" i="8"/>
  <c r="R87" i="8"/>
  <c r="R88" i="8"/>
  <c r="W88" i="8" s="1"/>
  <c r="AI88" i="8" s="1"/>
  <c r="R89" i="8"/>
  <c r="R90" i="8"/>
  <c r="R91" i="8"/>
  <c r="AD91" i="8" s="1"/>
  <c r="AI91" i="8" s="1"/>
  <c r="R92" i="8"/>
  <c r="X92" i="8" s="1"/>
  <c r="R93" i="8"/>
  <c r="X93" i="8" s="1"/>
  <c r="AI93" i="8" s="1"/>
  <c r="R95" i="8"/>
  <c r="R96" i="8"/>
  <c r="R97" i="8"/>
  <c r="R98" i="8"/>
  <c r="X98" i="8"/>
  <c r="AI98" i="8"/>
  <c r="R99" i="8"/>
  <c r="R100" i="8"/>
  <c r="X100" i="8"/>
  <c r="AI100" i="8"/>
  <c r="R101" i="8"/>
  <c r="Y101" i="8" s="1"/>
  <c r="Y161" i="8" s="1"/>
  <c r="R102" i="8"/>
  <c r="R103" i="8"/>
  <c r="R104" i="8"/>
  <c r="R105" i="8"/>
  <c r="R106" i="8"/>
  <c r="R107" i="8"/>
  <c r="X107" i="8"/>
  <c r="AI107" i="8" s="1"/>
  <c r="R108" i="8"/>
  <c r="W108" i="8" s="1"/>
  <c r="R109" i="8"/>
  <c r="W109" i="8" s="1"/>
  <c r="R110" i="8"/>
  <c r="R111" i="8"/>
  <c r="X111" i="8" s="1"/>
  <c r="R112" i="8"/>
  <c r="R113" i="8"/>
  <c r="T113" i="8" s="1"/>
  <c r="AI113" i="8" s="1"/>
  <c r="R114" i="8"/>
  <c r="R115" i="8"/>
  <c r="R116" i="8"/>
  <c r="X116" i="8" s="1"/>
  <c r="R117" i="8"/>
  <c r="R118" i="8"/>
  <c r="U118" i="8" s="1"/>
  <c r="AI118" i="8" s="1"/>
  <c r="R119" i="8"/>
  <c r="X119" i="8" s="1"/>
  <c r="R120" i="8"/>
  <c r="X120" i="8" s="1"/>
  <c r="R121" i="8"/>
  <c r="AE121" i="8" s="1"/>
  <c r="AE161" i="8" s="1"/>
  <c r="R122" i="8"/>
  <c r="R123" i="8"/>
  <c r="R124" i="8"/>
  <c r="R125" i="8"/>
  <c r="R126" i="8"/>
  <c r="R127" i="8"/>
  <c r="R128" i="8"/>
  <c r="W128" i="8" s="1"/>
  <c r="R129" i="8"/>
  <c r="X129" i="8"/>
  <c r="AI129" i="8"/>
  <c r="R130" i="8"/>
  <c r="R131" i="8"/>
  <c r="W131" i="8" s="1"/>
  <c r="AI131" i="8" s="1"/>
  <c r="R132" i="8"/>
  <c r="X132" i="8"/>
  <c r="AI132" i="8" s="1"/>
  <c r="R133" i="8"/>
  <c r="R134" i="8"/>
  <c r="R135" i="8"/>
  <c r="R136" i="8"/>
  <c r="X136" i="8" s="1"/>
  <c r="AI136" i="8" s="1"/>
  <c r="R137" i="8"/>
  <c r="W137" i="8" s="1"/>
  <c r="R138" i="8"/>
  <c r="T138" i="8" s="1"/>
  <c r="R139" i="8"/>
  <c r="W139" i="8" s="1"/>
  <c r="R140" i="8"/>
  <c r="R141" i="8"/>
  <c r="R142" i="8"/>
  <c r="R143" i="8"/>
  <c r="R144" i="8"/>
  <c r="R145" i="8"/>
  <c r="R146" i="8"/>
  <c r="T146" i="8" s="1"/>
  <c r="R147" i="8"/>
  <c r="X147" i="8"/>
  <c r="AI147" i="8"/>
  <c r="R148" i="8"/>
  <c r="V148" i="8" s="1"/>
  <c r="R149" i="8"/>
  <c r="R150" i="8"/>
  <c r="R151" i="8"/>
  <c r="Y151" i="8" s="1"/>
  <c r="AI151" i="8" s="1"/>
  <c r="R152" i="8"/>
  <c r="R153" i="8"/>
  <c r="T153" i="8"/>
  <c r="AI153" i="8" s="1"/>
  <c r="R154" i="8"/>
  <c r="T154" i="8" s="1"/>
  <c r="R155" i="8"/>
  <c r="U155" i="8" s="1"/>
  <c r="R156" i="8"/>
  <c r="U156" i="8" s="1"/>
  <c r="AI156" i="8" s="1"/>
  <c r="R157" i="8"/>
  <c r="R158" i="8"/>
  <c r="U158" i="8"/>
  <c r="AI158" i="8" s="1"/>
  <c r="R159" i="8"/>
  <c r="U159" i="8"/>
  <c r="AI159" i="8" s="1"/>
  <c r="R160" i="8"/>
  <c r="V160" i="8" s="1"/>
  <c r="R83" i="8"/>
  <c r="T83" i="8" s="1"/>
  <c r="R3" i="8"/>
  <c r="R4" i="8"/>
  <c r="R5" i="8"/>
  <c r="R6" i="8"/>
  <c r="R7" i="8"/>
  <c r="R8" i="8"/>
  <c r="R9" i="8"/>
  <c r="R10" i="8"/>
  <c r="R11" i="8"/>
  <c r="R12" i="8"/>
  <c r="R13" i="8"/>
  <c r="U13" i="8" s="1"/>
  <c r="R14" i="8"/>
  <c r="AB14" i="8" s="1"/>
  <c r="R15" i="8"/>
  <c r="R16" i="8"/>
  <c r="W16" i="8" s="1"/>
  <c r="R17" i="8"/>
  <c r="X17" i="8"/>
  <c r="AI17" i="8" s="1"/>
  <c r="R18" i="8"/>
  <c r="R19" i="8"/>
  <c r="X19" i="8"/>
  <c r="AI19" i="8"/>
  <c r="R20" i="8"/>
  <c r="R21" i="8"/>
  <c r="W21" i="8" s="1"/>
  <c r="R22" i="8"/>
  <c r="W22" i="8" s="1"/>
  <c r="AI22" i="8" s="1"/>
  <c r="R23" i="8"/>
  <c r="R24" i="8"/>
  <c r="W24" i="8" s="1"/>
  <c r="R25" i="8"/>
  <c r="R26" i="8"/>
  <c r="X26" i="8" s="1"/>
  <c r="AI26" i="8" s="1"/>
  <c r="R27" i="8"/>
  <c r="R28" i="8"/>
  <c r="R29" i="8"/>
  <c r="R30" i="8"/>
  <c r="R31" i="8"/>
  <c r="R32" i="8"/>
  <c r="T32" i="8"/>
  <c r="AI32" i="8" s="1"/>
  <c r="R33" i="8"/>
  <c r="R34" i="8"/>
  <c r="R35" i="8"/>
  <c r="R36" i="8"/>
  <c r="W36" i="8" s="1"/>
  <c r="AI36" i="8" s="1"/>
  <c r="R37" i="8"/>
  <c r="R38" i="8"/>
  <c r="R39" i="8"/>
  <c r="AF39" i="8" s="1"/>
  <c r="R40" i="8"/>
  <c r="R41" i="8"/>
  <c r="X41" i="8" s="1"/>
  <c r="R42" i="8"/>
  <c r="X42" i="8" s="1"/>
  <c r="R43" i="8"/>
  <c r="R44" i="8"/>
  <c r="Z44" i="8" s="1"/>
  <c r="R45" i="8"/>
  <c r="R46" i="8"/>
  <c r="X46" i="8" s="1"/>
  <c r="R47" i="8"/>
  <c r="R48" i="8"/>
  <c r="X48" i="8" s="1"/>
  <c r="AI48" i="8" s="1"/>
  <c r="R49" i="8"/>
  <c r="V49" i="8" s="1"/>
  <c r="AI49" i="8" s="1"/>
  <c r="R50" i="8"/>
  <c r="R51" i="8"/>
  <c r="X51" i="8" s="1"/>
  <c r="AI51" i="8" s="1"/>
  <c r="R52" i="8"/>
  <c r="R53" i="8"/>
  <c r="V53" i="8" s="1"/>
  <c r="AI53" i="8" s="1"/>
  <c r="R54" i="8"/>
  <c r="R55" i="8"/>
  <c r="X55" i="8"/>
  <c r="AI55" i="8" s="1"/>
  <c r="R56" i="8"/>
  <c r="R57" i="8"/>
  <c r="AF57" i="8" s="1"/>
  <c r="R58" i="8"/>
  <c r="R59" i="8"/>
  <c r="AH59" i="8" s="1"/>
  <c r="AH80" i="8" s="1"/>
  <c r="R60" i="8"/>
  <c r="X60" i="8" s="1"/>
  <c r="R61" i="8"/>
  <c r="W61" i="8" s="1"/>
  <c r="R62" i="8"/>
  <c r="AF62" i="8" s="1"/>
  <c r="R63" i="8"/>
  <c r="R64" i="8"/>
  <c r="AF64" i="8" s="1"/>
  <c r="AI64" i="8" s="1"/>
  <c r="R65" i="8"/>
  <c r="R66" i="8"/>
  <c r="X66" i="8" s="1"/>
  <c r="AI66" i="8" s="1"/>
  <c r="R67" i="8"/>
  <c r="V67" i="8" s="1"/>
  <c r="R68" i="8"/>
  <c r="R69" i="8"/>
  <c r="X69" i="8" s="1"/>
  <c r="R70" i="8"/>
  <c r="Y70" i="8"/>
  <c r="AI70" i="8" s="1"/>
  <c r="R71" i="8"/>
  <c r="R72" i="8"/>
  <c r="T72" i="8" s="1"/>
  <c r="AI72" i="8" s="1"/>
  <c r="R73" i="8"/>
  <c r="R74" i="8"/>
  <c r="R75" i="8"/>
  <c r="U75" i="8" s="1"/>
  <c r="AI75" i="8" s="1"/>
  <c r="R76" i="8"/>
  <c r="R77" i="8"/>
  <c r="U77" i="8" s="1"/>
  <c r="AI77" i="8" s="1"/>
  <c r="R78" i="8"/>
  <c r="U78" i="8" s="1"/>
  <c r="AI78" i="8" s="1"/>
  <c r="R79" i="8"/>
  <c r="R2" i="8"/>
  <c r="J5" i="4"/>
  <c r="J3" i="4" s="1"/>
  <c r="J18" i="4"/>
  <c r="J15" i="4" s="1"/>
  <c r="J24" i="4"/>
  <c r="J28" i="4" s="1"/>
  <c r="V5" i="4"/>
  <c r="W5" i="4" s="1"/>
  <c r="X5" i="4" s="1"/>
  <c r="Y5" i="4" s="1"/>
  <c r="V6" i="4"/>
  <c r="W6" i="4" s="1"/>
  <c r="X6" i="4" s="1"/>
  <c r="Y6" i="4" s="1"/>
  <c r="V7" i="4"/>
  <c r="W7" i="4"/>
  <c r="X7" i="4" s="1"/>
  <c r="Y7" i="4" s="1"/>
  <c r="V8" i="4"/>
  <c r="W8" i="4" s="1"/>
  <c r="X8" i="4" s="1"/>
  <c r="Y8" i="4" s="1"/>
  <c r="V9" i="4"/>
  <c r="W9" i="4" s="1"/>
  <c r="X9" i="4" s="1"/>
  <c r="Y9" i="4" s="1"/>
  <c r="V10" i="4"/>
  <c r="W10" i="4"/>
  <c r="X10" i="4"/>
  <c r="Y10" i="4"/>
  <c r="V11" i="4"/>
  <c r="W11" i="4" s="1"/>
  <c r="X11" i="4" s="1"/>
  <c r="Y11" i="4" s="1"/>
  <c r="V12" i="4"/>
  <c r="W12" i="4" s="1"/>
  <c r="X12" i="4" s="1"/>
  <c r="Y12" i="4" s="1"/>
  <c r="V13" i="4"/>
  <c r="W13" i="4"/>
  <c r="X13" i="4"/>
  <c r="Y13" i="4"/>
  <c r="V14" i="4"/>
  <c r="W14" i="4" s="1"/>
  <c r="X14" i="4" s="1"/>
  <c r="Y14" i="4" s="1"/>
  <c r="V15" i="4"/>
  <c r="W15" i="4" s="1"/>
  <c r="X15" i="4" s="1"/>
  <c r="Y15" i="4" s="1"/>
  <c r="V16" i="4"/>
  <c r="W16" i="4"/>
  <c r="X16" i="4"/>
  <c r="Y16" i="4"/>
  <c r="V17" i="4"/>
  <c r="W17" i="4" s="1"/>
  <c r="X17" i="4" s="1"/>
  <c r="Y17" i="4" s="1"/>
  <c r="V18" i="4"/>
  <c r="W18" i="4" s="1"/>
  <c r="X18" i="4" s="1"/>
  <c r="Y18" i="4" s="1"/>
  <c r="V19" i="4"/>
  <c r="W19" i="4"/>
  <c r="X19" i="4" s="1"/>
  <c r="Y19" i="4"/>
  <c r="V20" i="4"/>
  <c r="W20" i="4" s="1"/>
  <c r="X20" i="4" s="1"/>
  <c r="Y20" i="4" s="1"/>
  <c r="V21" i="4"/>
  <c r="W21" i="4" s="1"/>
  <c r="X21" i="4" s="1"/>
  <c r="Y21" i="4" s="1"/>
  <c r="V22" i="4"/>
  <c r="W22" i="4"/>
  <c r="X22" i="4" s="1"/>
  <c r="Y22" i="4" s="1"/>
  <c r="V4" i="4"/>
  <c r="W4" i="4" s="1"/>
  <c r="X4" i="4" s="1"/>
  <c r="Y4" i="4" s="1"/>
  <c r="U63" i="1"/>
  <c r="AB63" i="1" s="1"/>
  <c r="U59" i="1"/>
  <c r="Y59" i="1"/>
  <c r="AN59" i="1"/>
  <c r="AO59" i="1"/>
  <c r="U47" i="1"/>
  <c r="Z47" i="1"/>
  <c r="AO47" i="1" s="1"/>
  <c r="AC44" i="1"/>
  <c r="U43" i="1"/>
  <c r="AA43" i="1" s="1"/>
  <c r="AG43" i="1"/>
  <c r="Y43" i="1"/>
  <c r="AO43" i="1" s="1"/>
  <c r="U35" i="1"/>
  <c r="Z35" i="1"/>
  <c r="AA35" i="1"/>
  <c r="AO35" i="1"/>
  <c r="C27" i="4"/>
  <c r="U32" i="1"/>
  <c r="AF32" i="1" s="1"/>
  <c r="W32" i="1"/>
  <c r="AO32" i="1" s="1"/>
  <c r="U27" i="1"/>
  <c r="AA27" i="1"/>
  <c r="U23" i="1"/>
  <c r="AH23" i="1" s="1"/>
  <c r="AO23" i="1" s="1"/>
  <c r="U20" i="1"/>
  <c r="Z20" i="1" s="1"/>
  <c r="U16" i="1"/>
  <c r="W16" i="1" s="1"/>
  <c r="AF16" i="1"/>
  <c r="E4" i="4"/>
  <c r="E6" i="4"/>
  <c r="E7" i="4"/>
  <c r="E8" i="4"/>
  <c r="E9" i="4"/>
  <c r="E10" i="4"/>
  <c r="E11" i="4"/>
  <c r="E12" i="4"/>
  <c r="E13" i="4"/>
  <c r="E14" i="4"/>
  <c r="E16" i="4"/>
  <c r="E17" i="4"/>
  <c r="E19" i="4"/>
  <c r="E20" i="4"/>
  <c r="E21" i="4"/>
  <c r="E22" i="4"/>
  <c r="E23" i="4"/>
  <c r="E25" i="4"/>
  <c r="E26" i="4"/>
  <c r="E27" i="4"/>
  <c r="D5" i="4"/>
  <c r="E5" i="4" s="1"/>
  <c r="D18" i="4"/>
  <c r="D15" i="4"/>
  <c r="E15" i="4"/>
  <c r="D24" i="4"/>
  <c r="E24" i="4" s="1"/>
  <c r="U2" i="1"/>
  <c r="W2" i="1" s="1"/>
  <c r="U3" i="1"/>
  <c r="Z3" i="1" s="1"/>
  <c r="AO3" i="1" s="1"/>
  <c r="U4" i="1"/>
  <c r="X4" i="1"/>
  <c r="AO4" i="1" s="1"/>
  <c r="U5" i="1"/>
  <c r="AG5" i="1"/>
  <c r="U6" i="1"/>
  <c r="Z6" i="1" s="1"/>
  <c r="X6" i="1"/>
  <c r="U7" i="1"/>
  <c r="U8" i="1"/>
  <c r="AF8" i="1" s="1"/>
  <c r="U9" i="1"/>
  <c r="V9" i="1" s="1"/>
  <c r="U10" i="1"/>
  <c r="Z10" i="1"/>
  <c r="AO10" i="1" s="1"/>
  <c r="U11" i="1"/>
  <c r="Z11" i="1"/>
  <c r="U12" i="1"/>
  <c r="AA12" i="1" s="1"/>
  <c r="AF12" i="1"/>
  <c r="U13" i="1"/>
  <c r="X13" i="1" s="1"/>
  <c r="U14" i="1"/>
  <c r="U15" i="1"/>
  <c r="AK15" i="1" s="1"/>
  <c r="U17" i="1"/>
  <c r="AG17" i="1" s="1"/>
  <c r="U18" i="1"/>
  <c r="AA18" i="1" s="1"/>
  <c r="Z18" i="1"/>
  <c r="AO18" i="1" s="1"/>
  <c r="U19" i="1"/>
  <c r="AA19" i="1"/>
  <c r="AO19" i="1" s="1"/>
  <c r="U21" i="1"/>
  <c r="AL21" i="1"/>
  <c r="U22" i="1"/>
  <c r="AG22" i="1" s="1"/>
  <c r="X23" i="1"/>
  <c r="U24" i="1"/>
  <c r="Y24" i="1"/>
  <c r="U25" i="1"/>
  <c r="AA25" i="1" s="1"/>
  <c r="Z25" i="1"/>
  <c r="U26" i="1"/>
  <c r="AG26" i="1" s="1"/>
  <c r="AH27" i="1"/>
  <c r="U28" i="1"/>
  <c r="Z28" i="1"/>
  <c r="AO28" i="1" s="1"/>
  <c r="U29" i="1"/>
  <c r="X29" i="1" s="1"/>
  <c r="AO29" i="1" s="1"/>
  <c r="U30" i="1"/>
  <c r="AA30" i="1" s="1"/>
  <c r="U31" i="1"/>
  <c r="W31" i="1" s="1"/>
  <c r="Z31" i="1"/>
  <c r="U33" i="1"/>
  <c r="AJ33" i="1" s="1"/>
  <c r="AJ80" i="1" s="1"/>
  <c r="U34" i="1"/>
  <c r="AL34" i="1"/>
  <c r="U36" i="1"/>
  <c r="V36" i="1"/>
  <c r="AO36" i="1" s="1"/>
  <c r="U37" i="1"/>
  <c r="AA37" i="1"/>
  <c r="U38" i="1"/>
  <c r="AA38" i="1" s="1"/>
  <c r="U39" i="1"/>
  <c r="AL39" i="1" s="1"/>
  <c r="AA39" i="1"/>
  <c r="AO39" i="1" s="1"/>
  <c r="U40" i="1"/>
  <c r="AK40" i="1" s="1"/>
  <c r="U41" i="1"/>
  <c r="AC41" i="1"/>
  <c r="AC80" i="1" s="1"/>
  <c r="U42" i="1"/>
  <c r="U44" i="1"/>
  <c r="AA44" i="1" s="1"/>
  <c r="AO44" i="1" s="1"/>
  <c r="U45" i="1"/>
  <c r="AA45" i="1"/>
  <c r="U46" i="1"/>
  <c r="W46" i="1"/>
  <c r="AO46" i="1" s="1"/>
  <c r="U48" i="1"/>
  <c r="AG48" i="1"/>
  <c r="U49" i="1"/>
  <c r="Y49" i="1" s="1"/>
  <c r="U50" i="1"/>
  <c r="Y50" i="1" s="1"/>
  <c r="U51" i="1"/>
  <c r="AG51" i="1"/>
  <c r="U52" i="1"/>
  <c r="Y52" i="1" s="1"/>
  <c r="U53" i="1"/>
  <c r="AA53" i="1" s="1"/>
  <c r="U54" i="1"/>
  <c r="AH54" i="1" s="1"/>
  <c r="AA54" i="1"/>
  <c r="U55" i="1"/>
  <c r="AA55" i="1" s="1"/>
  <c r="U56" i="1"/>
  <c r="Z56" i="1" s="1"/>
  <c r="U57" i="1"/>
  <c r="W57" i="1" s="1"/>
  <c r="AO57" i="1" s="1"/>
  <c r="U58" i="1"/>
  <c r="AA58" i="1" s="1"/>
  <c r="AN80" i="1"/>
  <c r="U60" i="1"/>
  <c r="U61" i="1"/>
  <c r="V61" i="1" s="1"/>
  <c r="U62" i="1"/>
  <c r="AM62" i="1" s="1"/>
  <c r="AM80" i="1" s="1"/>
  <c r="AL62" i="1"/>
  <c r="U64" i="1"/>
  <c r="AL64" i="1" s="1"/>
  <c r="AA64" i="1"/>
  <c r="AO64" i="1" s="1"/>
  <c r="U65" i="1"/>
  <c r="Z65" i="1"/>
  <c r="U66" i="1"/>
  <c r="U67" i="1"/>
  <c r="Y67" i="1" s="1"/>
  <c r="U68" i="1"/>
  <c r="AA68" i="1"/>
  <c r="U69" i="1"/>
  <c r="AH69" i="1"/>
  <c r="AO69" i="1" s="1"/>
  <c r="U70" i="1"/>
  <c r="AH70" i="1" s="1"/>
  <c r="AB70" i="1"/>
  <c r="AO70" i="1" s="1"/>
  <c r="U71" i="1"/>
  <c r="U72" i="1"/>
  <c r="AH72" i="1"/>
  <c r="U73" i="1"/>
  <c r="AL73" i="1"/>
  <c r="U74" i="1"/>
  <c r="U75" i="1"/>
  <c r="X75" i="1"/>
  <c r="U76" i="1"/>
  <c r="U77" i="1"/>
  <c r="AG77" i="1" s="1"/>
  <c r="X77" i="1"/>
  <c r="U78" i="1"/>
  <c r="X78" i="1" s="1"/>
  <c r="U79" i="1"/>
  <c r="AF2" i="1"/>
  <c r="K80" i="5"/>
  <c r="L80" i="5"/>
  <c r="M80" i="5"/>
  <c r="N80" i="5"/>
  <c r="O80" i="5"/>
  <c r="P80" i="5"/>
  <c r="Q80" i="5"/>
  <c r="R80" i="5"/>
  <c r="S80" i="5"/>
  <c r="T80" i="5"/>
  <c r="C80" i="5"/>
  <c r="D80" i="5"/>
  <c r="E80" i="5"/>
  <c r="F80" i="5"/>
  <c r="G80" i="5"/>
  <c r="H80" i="5"/>
  <c r="I80" i="5"/>
  <c r="J80" i="5"/>
  <c r="B80" i="5"/>
  <c r="AX80" i="7"/>
  <c r="AW80" i="7"/>
  <c r="AV80" i="7"/>
  <c r="AU80" i="7"/>
  <c r="AT80" i="7"/>
  <c r="AS80" i="7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2" i="5"/>
  <c r="AG80" i="5"/>
  <c r="AF21" i="1"/>
  <c r="X21" i="1"/>
  <c r="AO21" i="1" s="1"/>
  <c r="Z21" i="1"/>
  <c r="AA21" i="1"/>
  <c r="Z29" i="1"/>
  <c r="AA29" i="1"/>
  <c r="AG29" i="1"/>
  <c r="AF37" i="1"/>
  <c r="AO37" i="1" s="1"/>
  <c r="AL57" i="1"/>
  <c r="AG68" i="1"/>
  <c r="AC73" i="1"/>
  <c r="AL4" i="1"/>
  <c r="W8" i="1"/>
  <c r="AO8" i="1" s="1"/>
  <c r="AA17" i="1"/>
  <c r="AO17" i="1"/>
  <c r="AB9" i="1"/>
  <c r="AI37" i="1"/>
  <c r="AI80" i="1"/>
  <c r="AA69" i="1"/>
  <c r="AH73" i="1"/>
  <c r="AL2" i="1"/>
  <c r="AA5" i="1"/>
  <c r="AA11" i="1"/>
  <c r="W15" i="1"/>
  <c r="AG24" i="1"/>
  <c r="AA28" i="1"/>
  <c r="Z37" i="1"/>
  <c r="AA41" i="1"/>
  <c r="AO41" i="1"/>
  <c r="Y45" i="1"/>
  <c r="AO45" i="1" s="1"/>
  <c r="AH52" i="1"/>
  <c r="AH57" i="1"/>
  <c r="Z61" i="1"/>
  <c r="W72" i="1"/>
  <c r="AO72" i="1" s="1"/>
  <c r="AL20" i="1"/>
  <c r="AA48" i="1"/>
  <c r="AO48" i="1"/>
  <c r="AH53" i="1"/>
  <c r="W65" i="1"/>
  <c r="AO65" i="1" s="1"/>
  <c r="Z5" i="1"/>
  <c r="AO5" i="1" s="1"/>
  <c r="Z8" i="1"/>
  <c r="AL23" i="1"/>
  <c r="AG27" i="1"/>
  <c r="X37" i="1"/>
  <c r="AH61" i="1"/>
  <c r="AL65" i="1"/>
  <c r="AB69" i="1"/>
  <c r="AF75" i="1"/>
  <c r="AJ74" i="1"/>
  <c r="AH74" i="1"/>
  <c r="AO74" i="1" s="1"/>
  <c r="X74" i="1"/>
  <c r="AA66" i="1"/>
  <c r="AO66" i="1" s="1"/>
  <c r="AG66" i="1"/>
  <c r="Z58" i="1"/>
  <c r="AO58" i="1" s="1"/>
  <c r="Z50" i="1"/>
  <c r="AA50" i="1"/>
  <c r="AG42" i="1"/>
  <c r="Z42" i="1"/>
  <c r="AO42" i="1" s="1"/>
  <c r="Y14" i="1"/>
  <c r="AE14" i="1"/>
  <c r="Z22" i="1"/>
  <c r="AL6" i="1"/>
  <c r="AA22" i="1"/>
  <c r="AG30" i="1"/>
  <c r="Z34" i="1"/>
  <c r="AO75" i="1"/>
  <c r="V63" i="1"/>
  <c r="AF47" i="1"/>
  <c r="AL47" i="1"/>
  <c r="AJ3" i="1"/>
  <c r="AG10" i="1"/>
  <c r="AF20" i="1"/>
  <c r="Z23" i="1"/>
  <c r="AA24" i="1"/>
  <c r="Z27" i="1"/>
  <c r="AE31" i="1"/>
  <c r="AG34" i="1"/>
  <c r="Z36" i="1"/>
  <c r="AJ42" i="1"/>
  <c r="AB44" i="1"/>
  <c r="V47" i="1"/>
  <c r="Z52" i="1"/>
  <c r="AO52" i="1"/>
  <c r="AG74" i="1"/>
  <c r="Y54" i="1"/>
  <c r="Z54" i="1"/>
  <c r="AA46" i="1"/>
  <c r="AF46" i="1"/>
  <c r="Z46" i="1"/>
  <c r="AJ10" i="1"/>
  <c r="AG45" i="1"/>
  <c r="AA14" i="1"/>
  <c r="AO14" i="1" s="1"/>
  <c r="AB38" i="1"/>
  <c r="AL50" i="1"/>
  <c r="Z76" i="1"/>
  <c r="X76" i="1"/>
  <c r="AO76" i="1" s="1"/>
  <c r="AF76" i="1"/>
  <c r="AH68" i="1"/>
  <c r="Y68" i="1"/>
  <c r="Z68" i="1"/>
  <c r="AL68" i="1"/>
  <c r="AO68" i="1"/>
  <c r="Z60" i="1"/>
  <c r="AO60" i="1" s="1"/>
  <c r="AA60" i="1"/>
  <c r="AF11" i="1"/>
  <c r="AH14" i="1"/>
  <c r="AF15" i="1"/>
  <c r="AB20" i="1"/>
  <c r="Z24" i="1"/>
  <c r="AA26" i="1"/>
  <c r="AO26" i="1" s="1"/>
  <c r="AL27" i="1"/>
  <c r="AA34" i="1"/>
  <c r="AA42" i="1"/>
  <c r="AA51" i="1"/>
  <c r="AO51" i="1"/>
  <c r="Z53" i="1"/>
  <c r="Z57" i="1"/>
  <c r="Z73" i="1"/>
  <c r="AF65" i="1"/>
  <c r="W73" i="1"/>
  <c r="X64" i="8"/>
  <c r="W56" i="8"/>
  <c r="S56" i="8"/>
  <c r="AI56" i="8" s="1"/>
  <c r="V52" i="8"/>
  <c r="W52" i="8"/>
  <c r="X44" i="8"/>
  <c r="AE40" i="8"/>
  <c r="U40" i="8"/>
  <c r="W40" i="8"/>
  <c r="S36" i="8"/>
  <c r="W28" i="8"/>
  <c r="X28" i="8"/>
  <c r="S20" i="8"/>
  <c r="W20" i="8"/>
  <c r="AI20" i="8" s="1"/>
  <c r="Y20" i="8"/>
  <c r="AF20" i="8"/>
  <c r="X131" i="8"/>
  <c r="AF131" i="8"/>
  <c r="V131" i="8"/>
  <c r="W123" i="8"/>
  <c r="AI123" i="8" s="1"/>
  <c r="X123" i="8"/>
  <c r="AD123" i="8"/>
  <c r="W99" i="8"/>
  <c r="X99" i="8"/>
  <c r="S47" i="8"/>
  <c r="AF47" i="8"/>
  <c r="W47" i="8"/>
  <c r="X43" i="8"/>
  <c r="V43" i="8"/>
  <c r="AI43" i="8" s="1"/>
  <c r="X35" i="8"/>
  <c r="AI35" i="8" s="1"/>
  <c r="W35" i="8"/>
  <c r="AF27" i="8"/>
  <c r="W27" i="8"/>
  <c r="X27" i="8"/>
  <c r="AI27" i="8" s="1"/>
  <c r="T15" i="8"/>
  <c r="W154" i="8"/>
  <c r="Z154" i="8"/>
  <c r="AF154" i="8"/>
  <c r="U102" i="8"/>
  <c r="W102" i="8"/>
  <c r="AF102" i="8"/>
  <c r="X102" i="8"/>
  <c r="U85" i="8"/>
  <c r="AF85" i="8"/>
  <c r="AD74" i="8"/>
  <c r="AI74" i="8" s="1"/>
  <c r="U74" i="8"/>
  <c r="AG62" i="8"/>
  <c r="AG80" i="8" s="1"/>
  <c r="X58" i="8"/>
  <c r="AI58" i="8" s="1"/>
  <c r="W58" i="8"/>
  <c r="X54" i="8"/>
  <c r="V54" i="8"/>
  <c r="W54" i="8"/>
  <c r="W50" i="8"/>
  <c r="AF50" i="8"/>
  <c r="V50" i="8"/>
  <c r="X50" i="8"/>
  <c r="T46" i="8"/>
  <c r="W42" i="8"/>
  <c r="AD42" i="8"/>
  <c r="X38" i="8"/>
  <c r="Y38" i="8"/>
  <c r="V38" i="8"/>
  <c r="AI38" i="8" s="1"/>
  <c r="X34" i="8"/>
  <c r="W34" i="8"/>
  <c r="AI34" i="8" s="1"/>
  <c r="AF34" i="8"/>
  <c r="X30" i="8"/>
  <c r="AI30" i="8" s="1"/>
  <c r="W30" i="8"/>
  <c r="X22" i="8"/>
  <c r="X18" i="8"/>
  <c r="W18" i="8"/>
  <c r="AI18" i="8" s="1"/>
  <c r="V14" i="8"/>
  <c r="U157" i="8"/>
  <c r="AI157" i="8" s="1"/>
  <c r="W157" i="8"/>
  <c r="X149" i="8"/>
  <c r="AF149" i="8"/>
  <c r="V149" i="8"/>
  <c r="AI149" i="8" s="1"/>
  <c r="W149" i="8"/>
  <c r="X145" i="8"/>
  <c r="AF145" i="8"/>
  <c r="AI145" i="8" s="1"/>
  <c r="X141" i="8"/>
  <c r="W141" i="8"/>
  <c r="AI141" i="8" s="1"/>
  <c r="S137" i="8"/>
  <c r="AI137" i="8" s="1"/>
  <c r="V133" i="8"/>
  <c r="AI133" i="8" s="1"/>
  <c r="W133" i="8"/>
  <c r="X125" i="8"/>
  <c r="Z125" i="8"/>
  <c r="U121" i="8"/>
  <c r="W117" i="8"/>
  <c r="S117" i="8"/>
  <c r="X109" i="8"/>
  <c r="V105" i="8"/>
  <c r="W105" i="8"/>
  <c r="AI105" i="8" s="1"/>
  <c r="X105" i="8"/>
  <c r="W101" i="8"/>
  <c r="AF101" i="8"/>
  <c r="W97" i="8"/>
  <c r="AI97" i="8" s="1"/>
  <c r="T97" i="8"/>
  <c r="W92" i="8"/>
  <c r="AI92" i="8" s="1"/>
  <c r="W84" i="8"/>
  <c r="AD84" i="8"/>
  <c r="U76" i="8"/>
  <c r="W76" i="8"/>
  <c r="X68" i="8"/>
  <c r="W68" i="8"/>
  <c r="AI68" i="8" s="1"/>
  <c r="AF68" i="8"/>
  <c r="V68" i="8"/>
  <c r="V24" i="8"/>
  <c r="X24" i="8"/>
  <c r="AI24" i="8"/>
  <c r="T16" i="8"/>
  <c r="AG143" i="8"/>
  <c r="AG161" i="8" s="1"/>
  <c r="AB143" i="8"/>
  <c r="AE143" i="8"/>
  <c r="AF143" i="8"/>
  <c r="X135" i="8"/>
  <c r="V135" i="8"/>
  <c r="W135" i="8"/>
  <c r="T127" i="8"/>
  <c r="W127" i="8"/>
  <c r="X127" i="8"/>
  <c r="Y119" i="8"/>
  <c r="W115" i="8"/>
  <c r="AI115" i="8" s="1"/>
  <c r="X115" i="8"/>
  <c r="W103" i="8"/>
  <c r="X103" i="8"/>
  <c r="AI103" i="8" s="1"/>
  <c r="V95" i="8"/>
  <c r="X95" i="8"/>
  <c r="U95" i="8"/>
  <c r="AB95" i="8"/>
  <c r="AB161" i="8" s="1"/>
  <c r="W90" i="8"/>
  <c r="AI90" i="8" s="1"/>
  <c r="Y90" i="8"/>
  <c r="S90" i="8"/>
  <c r="W86" i="8"/>
  <c r="X86" i="8"/>
  <c r="W79" i="8"/>
  <c r="AF79" i="8"/>
  <c r="V79" i="8"/>
  <c r="AI79" i="8" s="1"/>
  <c r="W71" i="8"/>
  <c r="Y71" i="8"/>
  <c r="X71" i="8"/>
  <c r="AF63" i="8"/>
  <c r="X63" i="8"/>
  <c r="S63" i="8"/>
  <c r="Y63" i="8"/>
  <c r="V59" i="8"/>
  <c r="X39" i="8"/>
  <c r="T31" i="8"/>
  <c r="AB31" i="8"/>
  <c r="W31" i="8"/>
  <c r="X150" i="8"/>
  <c r="Y150" i="8"/>
  <c r="AI150" i="8" s="1"/>
  <c r="AF146" i="8"/>
  <c r="W142" i="8"/>
  <c r="AF142" i="8"/>
  <c r="S142" i="8"/>
  <c r="V134" i="8"/>
  <c r="W134" i="8"/>
  <c r="X134" i="8"/>
  <c r="AI134" i="8" s="1"/>
  <c r="X126" i="8"/>
  <c r="V126" i="8"/>
  <c r="AI126" i="8" s="1"/>
  <c r="X122" i="8"/>
  <c r="Z122" i="8"/>
  <c r="X118" i="8"/>
  <c r="AC118" i="8"/>
  <c r="AC161" i="8" s="1"/>
  <c r="W118" i="8"/>
  <c r="X114" i="8"/>
  <c r="AD114" i="8"/>
  <c r="W114" i="8"/>
  <c r="W106" i="8"/>
  <c r="X106" i="8"/>
  <c r="AF106" i="8"/>
  <c r="T89" i="8"/>
  <c r="W89" i="8"/>
  <c r="W73" i="8"/>
  <c r="AI73" i="8" s="1"/>
  <c r="T73" i="8"/>
  <c r="Z73" i="8"/>
  <c r="AF73" i="8"/>
  <c r="AF65" i="8"/>
  <c r="T65" i="8"/>
  <c r="W65" i="8"/>
  <c r="AI65" i="8"/>
  <c r="AF61" i="8"/>
  <c r="T57" i="8"/>
  <c r="W57" i="8"/>
  <c r="AI57" i="8" s="1"/>
  <c r="W53" i="8"/>
  <c r="X53" i="8"/>
  <c r="W49" i="8"/>
  <c r="X45" i="8"/>
  <c r="V45" i="8"/>
  <c r="AI45" i="8"/>
  <c r="Z41" i="8"/>
  <c r="Z80" i="8" s="1"/>
  <c r="X37" i="8"/>
  <c r="U37" i="8"/>
  <c r="AC37" i="8"/>
  <c r="AC80" i="8"/>
  <c r="W37" i="8"/>
  <c r="W33" i="8"/>
  <c r="X33" i="8"/>
  <c r="AD33" i="8"/>
  <c r="AD80" i="8" s="1"/>
  <c r="U29" i="8"/>
  <c r="W29" i="8"/>
  <c r="X29" i="8"/>
  <c r="AF25" i="8"/>
  <c r="W25" i="8"/>
  <c r="AI25" i="8" s="1"/>
  <c r="X25" i="8"/>
  <c r="AF21" i="8"/>
  <c r="U21" i="8"/>
  <c r="X21" i="8"/>
  <c r="AI21" i="8" s="1"/>
  <c r="AF13" i="8"/>
  <c r="V13" i="8"/>
  <c r="W13" i="8"/>
  <c r="AA13" i="8"/>
  <c r="AA80" i="8" s="1"/>
  <c r="AF160" i="8"/>
  <c r="W152" i="8"/>
  <c r="X152" i="8"/>
  <c r="Y152" i="8"/>
  <c r="AF144" i="8"/>
  <c r="X144" i="8"/>
  <c r="AI144" i="8" s="1"/>
  <c r="S144" i="8"/>
  <c r="Y144" i="8"/>
  <c r="V140" i="8"/>
  <c r="AH140" i="8"/>
  <c r="AH161" i="8"/>
  <c r="S128" i="8"/>
  <c r="AF128" i="8"/>
  <c r="AI128" i="8" s="1"/>
  <c r="X124" i="8"/>
  <c r="V124" i="8"/>
  <c r="AF120" i="8"/>
  <c r="W116" i="8"/>
  <c r="AI116" i="8" s="1"/>
  <c r="W112" i="8"/>
  <c r="AB112" i="8"/>
  <c r="T112" i="8"/>
  <c r="AI112" i="8" s="1"/>
  <c r="X108" i="8"/>
  <c r="AF108" i="8"/>
  <c r="W104" i="8"/>
  <c r="AI104" i="8" s="1"/>
  <c r="AF104" i="8"/>
  <c r="U104" i="8"/>
  <c r="T96" i="8"/>
  <c r="AI96" i="8" s="1"/>
  <c r="AE96" i="8"/>
  <c r="W91" i="8"/>
  <c r="U87" i="8"/>
  <c r="W87" i="8"/>
  <c r="AI87" i="8" s="1"/>
  <c r="AF87" i="8"/>
  <c r="E18" i="4"/>
  <c r="D3" i="4"/>
  <c r="E3" i="4" s="1"/>
  <c r="Y79" i="1"/>
  <c r="AO34" i="1"/>
  <c r="X14" i="1"/>
  <c r="AO3" i="5"/>
  <c r="AO4" i="5"/>
  <c r="AO5" i="5"/>
  <c r="AO6" i="5"/>
  <c r="AO7" i="5"/>
  <c r="AO8" i="5"/>
  <c r="AO9" i="5"/>
  <c r="AO10" i="5"/>
  <c r="AO11" i="5"/>
  <c r="AO12" i="5"/>
  <c r="AO13" i="5"/>
  <c r="AO14" i="5"/>
  <c r="AO15" i="5"/>
  <c r="AO16" i="5"/>
  <c r="AO17" i="5"/>
  <c r="AO18" i="5"/>
  <c r="AO19" i="5"/>
  <c r="AO20" i="5"/>
  <c r="AO21" i="5"/>
  <c r="AO22" i="5"/>
  <c r="AO23" i="5"/>
  <c r="AO24" i="5"/>
  <c r="AO25" i="5"/>
  <c r="AO26" i="5"/>
  <c r="AO27" i="5"/>
  <c r="AO28" i="5"/>
  <c r="AO29" i="5"/>
  <c r="AO30" i="5"/>
  <c r="AO31" i="5"/>
  <c r="AO32" i="5"/>
  <c r="AO33" i="5"/>
  <c r="AO34" i="5"/>
  <c r="AO35" i="5"/>
  <c r="AO36" i="5"/>
  <c r="AO37" i="5"/>
  <c r="AO38" i="5"/>
  <c r="AO39" i="5"/>
  <c r="AO40" i="5"/>
  <c r="AO41" i="5"/>
  <c r="AO42" i="5"/>
  <c r="AO43" i="5"/>
  <c r="AO44" i="5"/>
  <c r="AO45" i="5"/>
  <c r="AO46" i="5"/>
  <c r="AO47" i="5"/>
  <c r="AO48" i="5"/>
  <c r="AO49" i="5"/>
  <c r="AO50" i="5"/>
  <c r="AO51" i="5"/>
  <c r="AO52" i="5"/>
  <c r="AO53" i="5"/>
  <c r="AO54" i="5"/>
  <c r="AO55" i="5"/>
  <c r="AO56" i="5"/>
  <c r="AO57" i="5"/>
  <c r="AO58" i="5"/>
  <c r="AO59" i="5"/>
  <c r="AO60" i="5"/>
  <c r="AO61" i="5"/>
  <c r="AO62" i="5"/>
  <c r="AO63" i="5"/>
  <c r="AO64" i="5"/>
  <c r="AO65" i="5"/>
  <c r="AO66" i="5"/>
  <c r="AO67" i="5"/>
  <c r="AO68" i="5"/>
  <c r="AO69" i="5"/>
  <c r="AO70" i="5"/>
  <c r="AO71" i="5"/>
  <c r="AO72" i="5"/>
  <c r="AO73" i="5"/>
  <c r="AO74" i="5"/>
  <c r="AO75" i="5"/>
  <c r="AO76" i="5"/>
  <c r="AO77" i="5"/>
  <c r="AO78" i="5"/>
  <c r="AO79" i="5"/>
  <c r="AO2" i="5"/>
  <c r="W80" i="5"/>
  <c r="X80" i="5"/>
  <c r="Y80" i="5"/>
  <c r="Z80" i="5"/>
  <c r="AA80" i="5"/>
  <c r="AB80" i="5"/>
  <c r="AC80" i="5"/>
  <c r="AD80" i="5"/>
  <c r="AE80" i="5"/>
  <c r="AF80" i="5"/>
  <c r="AH80" i="5"/>
  <c r="AI80" i="5"/>
  <c r="AJ80" i="5"/>
  <c r="AK80" i="5"/>
  <c r="AL80" i="5"/>
  <c r="AM80" i="5"/>
  <c r="AN80" i="5"/>
  <c r="V80" i="5"/>
  <c r="AO27" i="1"/>
  <c r="AO22" i="1"/>
  <c r="AO73" i="1"/>
  <c r="AI106" i="8"/>
  <c r="Z161" i="8"/>
  <c r="AI142" i="8"/>
  <c r="AI63" i="8"/>
  <c r="AI114" i="8"/>
  <c r="AI59" i="8"/>
  <c r="AI117" i="8"/>
  <c r="AI47" i="8"/>
  <c r="AI37" i="8"/>
  <c r="AI86" i="8"/>
  <c r="AI16" i="8"/>
  <c r="AI42" i="8"/>
  <c r="AI102" i="8"/>
  <c r="AI40" i="8"/>
  <c r="AI140" i="8"/>
  <c r="AI122" i="8"/>
  <c r="AI99" i="8"/>
  <c r="AI120" i="8"/>
  <c r="AI13" i="8"/>
  <c r="AI33" i="8"/>
  <c r="AI135" i="8"/>
  <c r="AI109" i="8"/>
  <c r="AI154" i="8"/>
  <c r="C16" i="4"/>
  <c r="C17" i="4"/>
  <c r="C18" i="4"/>
  <c r="C19" i="4"/>
  <c r="C20" i="4"/>
  <c r="C21" i="4"/>
  <c r="C22" i="4"/>
  <c r="C23" i="4"/>
  <c r="C24" i="4"/>
  <c r="C25" i="4"/>
  <c r="C26" i="4"/>
  <c r="C4" i="4"/>
  <c r="C5" i="4"/>
  <c r="C6" i="4"/>
  <c r="C7" i="4"/>
  <c r="C8" i="4"/>
  <c r="C9" i="4"/>
  <c r="C10" i="4"/>
  <c r="C11" i="4"/>
  <c r="C12" i="4"/>
  <c r="C13" i="4"/>
  <c r="C14" i="4"/>
  <c r="C15" i="4"/>
  <c r="C3" i="4"/>
  <c r="R94" i="8"/>
  <c r="AF94" i="8" s="1"/>
  <c r="AA94" i="8"/>
  <c r="AA161" i="8"/>
  <c r="W94" i="8"/>
  <c r="AI143" i="8" l="1"/>
  <c r="AI31" i="8"/>
  <c r="W80" i="1"/>
  <c r="AO2" i="1"/>
  <c r="AO9" i="1"/>
  <c r="AI29" i="8"/>
  <c r="W138" i="8"/>
  <c r="AF79" i="1"/>
  <c r="Z79" i="1"/>
  <c r="AO79" i="1" s="1"/>
  <c r="AL79" i="1"/>
  <c r="AA71" i="1"/>
  <c r="Z71" i="1"/>
  <c r="AB71" i="1"/>
  <c r="AB80" i="1" s="1"/>
  <c r="X15" i="8"/>
  <c r="AE15" i="8"/>
  <c r="AE80" i="8" s="1"/>
  <c r="U110" i="8"/>
  <c r="W110" i="8"/>
  <c r="W161" i="8" s="1"/>
  <c r="X110" i="8"/>
  <c r="AI152" i="8"/>
  <c r="AI121" i="8"/>
  <c r="AI52" i="8"/>
  <c r="AI155" i="8"/>
  <c r="AI146" i="8"/>
  <c r="AI39" i="8"/>
  <c r="AI54" i="8"/>
  <c r="X161" i="8"/>
  <c r="AI41" i="8"/>
  <c r="AF138" i="8"/>
  <c r="V80" i="8"/>
  <c r="V56" i="1"/>
  <c r="AO56" i="1" s="1"/>
  <c r="AL13" i="1"/>
  <c r="Z7" i="1"/>
  <c r="AF7" i="1"/>
  <c r="U23" i="8"/>
  <c r="W23" i="8"/>
  <c r="W80" i="8" s="1"/>
  <c r="AF23" i="8"/>
  <c r="AF80" i="8" s="1"/>
  <c r="AB80" i="8"/>
  <c r="T161" i="8"/>
  <c r="AI127" i="8"/>
  <c r="T80" i="8"/>
  <c r="AI15" i="8"/>
  <c r="AI28" i="8"/>
  <c r="AF49" i="1"/>
  <c r="AO77" i="1"/>
  <c r="AK80" i="1"/>
  <c r="AO6" i="1"/>
  <c r="W130" i="8"/>
  <c r="V130" i="8"/>
  <c r="AI130" i="8" s="1"/>
  <c r="AI108" i="8"/>
  <c r="AI84" i="8"/>
  <c r="AF55" i="1"/>
  <c r="AO55" i="1" s="1"/>
  <c r="AI125" i="8"/>
  <c r="AC81" i="8"/>
  <c r="AO54" i="1"/>
  <c r="AO24" i="1"/>
  <c r="AI95" i="8"/>
  <c r="AO50" i="1"/>
  <c r="Z33" i="1"/>
  <c r="AA33" i="1"/>
  <c r="AA80" i="1" s="1"/>
  <c r="AG33" i="1"/>
  <c r="AD13" i="1"/>
  <c r="AD80" i="1" s="1"/>
  <c r="AH13" i="1"/>
  <c r="Z13" i="1"/>
  <c r="Y13" i="1"/>
  <c r="Y80" i="1" s="1"/>
  <c r="X40" i="1"/>
  <c r="AO40" i="1" s="1"/>
  <c r="Z40" i="1"/>
  <c r="AI138" i="8"/>
  <c r="W148" i="8"/>
  <c r="AI148" i="8" s="1"/>
  <c r="S61" i="8"/>
  <c r="AI89" i="8"/>
  <c r="AI71" i="8"/>
  <c r="AI50" i="8"/>
  <c r="AI85" i="8"/>
  <c r="AG80" i="1"/>
  <c r="AH78" i="1"/>
  <c r="AO78" i="1" s="1"/>
  <c r="AO12" i="1"/>
  <c r="AO15" i="1"/>
  <c r="AI124" i="8"/>
  <c r="AI76" i="8"/>
  <c r="AI44" i="8"/>
  <c r="Z49" i="1"/>
  <c r="AO49" i="1" s="1"/>
  <c r="AO67" i="1"/>
  <c r="AO11" i="1"/>
  <c r="V94" i="8"/>
  <c r="V161" i="8" s="1"/>
  <c r="AE62" i="1"/>
  <c r="AO62" i="1" s="1"/>
  <c r="AG63" i="1"/>
  <c r="AK62" i="1"/>
  <c r="AA63" i="1"/>
  <c r="AG61" i="1"/>
  <c r="Y53" i="1"/>
  <c r="AO53" i="1" s="1"/>
  <c r="Y38" i="1"/>
  <c r="AO38" i="1" s="1"/>
  <c r="Z30" i="1"/>
  <c r="AO30" i="1" s="1"/>
  <c r="V20" i="1"/>
  <c r="AO20" i="1" s="1"/>
  <c r="AG31" i="1"/>
  <c r="AO31" i="1" s="1"/>
  <c r="W160" i="8"/>
  <c r="AI160" i="8" s="1"/>
  <c r="W111" i="8"/>
  <c r="AI111" i="8" s="1"/>
  <c r="W60" i="8"/>
  <c r="AI60" i="8" s="1"/>
  <c r="AF83" i="8"/>
  <c r="AI83" i="8" s="1"/>
  <c r="W46" i="8"/>
  <c r="AI46" i="8" s="1"/>
  <c r="AE62" i="8"/>
  <c r="W67" i="8"/>
  <c r="AI67" i="8" s="1"/>
  <c r="X139" i="8"/>
  <c r="AI139" i="8" s="1"/>
  <c r="AL63" i="1"/>
  <c r="Z9" i="1"/>
  <c r="Z16" i="1"/>
  <c r="AO16" i="1" s="1"/>
  <c r="AF62" i="1"/>
  <c r="AL25" i="1"/>
  <c r="AH25" i="1"/>
  <c r="AO25" i="1" s="1"/>
  <c r="U94" i="8"/>
  <c r="AI94" i="8" s="1"/>
  <c r="Y69" i="8"/>
  <c r="AI69" i="8" s="1"/>
  <c r="W146" i="8"/>
  <c r="AB62" i="8"/>
  <c r="AI62" i="8" s="1"/>
  <c r="Z67" i="1"/>
  <c r="X14" i="8"/>
  <c r="AD155" i="8"/>
  <c r="AD161" i="8" s="1"/>
  <c r="V119" i="8"/>
  <c r="AI119" i="8" s="1"/>
  <c r="S101" i="8"/>
  <c r="AI101" i="8" s="1"/>
  <c r="W121" i="8"/>
  <c r="U14" i="8"/>
  <c r="AI14" i="8" s="1"/>
  <c r="AL61" i="1"/>
  <c r="AO61" i="1" s="1"/>
  <c r="AI80" i="8" l="1"/>
  <c r="AI161" i="8"/>
  <c r="AO71" i="1"/>
  <c r="AI61" i="8"/>
  <c r="S80" i="8"/>
  <c r="AO13" i="1"/>
  <c r="AO7" i="1"/>
  <c r="AO33" i="1"/>
  <c r="AL80" i="1"/>
  <c r="U80" i="8"/>
  <c r="AO63" i="1"/>
  <c r="S81" i="8"/>
  <c r="S161" i="8"/>
  <c r="X80" i="1"/>
  <c r="S165" i="8"/>
  <c r="AF80" i="1"/>
  <c r="X80" i="8"/>
  <c r="AC164" i="8"/>
  <c r="AF161" i="8"/>
  <c r="AE80" i="1"/>
  <c r="AI110" i="8"/>
  <c r="U161" i="8"/>
  <c r="Z80" i="1"/>
  <c r="V80" i="1"/>
  <c r="AH80" i="1"/>
  <c r="AI23" i="8"/>
  <c r="Y8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U1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Usuario: este TOTAL é o total de itens por amostra, e que depois serão transformados em % para o PN%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80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Esse é o total de vezes que os itens apareceram nas amostras. É usado na tabela N</t>
        </r>
      </text>
    </comment>
    <comment ref="U80" authorId="0" shapeId="0" xr:uid="{00000000-0006-0000-0200-000003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ESSES VALORES SÃO O PN% QUE ENTRA NO PSIRI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1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 é em quantas amostras o item em questão apareceu. Em quatas das 77 amostras apareceram rattus por ex.</t>
        </r>
      </text>
    </comment>
    <comment ref="D1" authorId="0" shapeId="0" xr:uid="{00000000-0006-0000-0400-000002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N (ABUNDANCIA) é a soma da quantidade do item em questão em cada amostra. Apontado pela planilha "Fezes gato N".
Ex: Rattus apareceu 2x no estomago 1 e 3x no estomago 2, então o N é 5 ( que é 2+3) e a FO é 2 (pq apareceu apenas nos estomagos 1 e 2).  </t>
        </r>
      </text>
    </comment>
    <comment ref="F1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É a proporção numérica em que cada item ocorre nas amostras
</t>
        </r>
      </text>
    </comment>
    <comment ref="B28" authorId="0" shapeId="0" xr:uid="{00000000-0006-0000-0400-000004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Aqui é o número total de amostras (n de fezes)
</t>
        </r>
      </text>
    </comment>
    <comment ref="D28" authorId="0" shapeId="0" xr:uid="{00000000-0006-0000-0400-000005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Para esse calculo utiliza-se apenas os grandes grupos para que não sejam recontadas as presas. Ou seja apenas os que estão em negrito.</t>
        </r>
      </text>
    </comment>
    <comment ref="AA49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Aqui é o número total de amostras (n de fezes)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1" authorId="0" shapeId="0" xr:uid="{00000000-0006-0000-0500-000001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 é em quantas amostras o item em questão apareceu. Em quatas das 77 amostras apareceram rattus por ex.</t>
        </r>
      </text>
    </comment>
    <comment ref="D1" authorId="0" shapeId="0" xr:uid="{00000000-0006-0000-0500-000002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N (ABUNDANCIA) é a soma da quantidade do item em questão em cada amostra. Apontado pela planilha "Fezes gato N".
Ex: Rattus apareceu 2x no estomago 1 e 3x no estomago 2, então o N é 5 ( que é 2+3) e a FO é 2 (pq apareceu apenas nos estomagos 1 e 2).  </t>
        </r>
      </text>
    </comment>
    <comment ref="F1" authorId="0" shapeId="0" xr:uid="{00000000-0006-0000-0500-000003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É a proporção numérica em que cada item ocorre nas amostras
</t>
        </r>
      </text>
    </comment>
    <comment ref="B28" authorId="0" shapeId="0" xr:uid="{00000000-0006-0000-0500-000004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Aqui é o número total de amostras (n de fezes)
</t>
        </r>
      </text>
    </comment>
    <comment ref="D28" authorId="0" shapeId="0" xr:uid="{00000000-0006-0000-0500-000005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Para esse calculo utiliza-se apenas os grandes grupos para que não sejam recontadas as presas. Ou seja apenas os que estão em negrito.</t>
        </r>
      </text>
    </comment>
  </commentList>
</comments>
</file>

<file path=xl/sharedStrings.xml><?xml version="1.0" encoding="utf-8"?>
<sst xmlns="http://schemas.openxmlformats.org/spreadsheetml/2006/main" count="1135" uniqueCount="159">
  <si>
    <t>LOCAL</t>
  </si>
  <si>
    <t>MÊS</t>
  </si>
  <si>
    <t>ANO</t>
  </si>
  <si>
    <t>ESPÉCIE</t>
  </si>
  <si>
    <t>ID</t>
  </si>
  <si>
    <t>Mamífero NI</t>
  </si>
  <si>
    <t>N Mamífero NI</t>
  </si>
  <si>
    <t>Roedor NI</t>
  </si>
  <si>
    <t>N Roedor NI</t>
  </si>
  <si>
    <t>Rattus</t>
  </si>
  <si>
    <t>N Rattus</t>
  </si>
  <si>
    <t>Kerodon</t>
  </si>
  <si>
    <t>N Kerodon</t>
  </si>
  <si>
    <t>Trachylepis</t>
  </si>
  <si>
    <t>N Trachylepis</t>
  </si>
  <si>
    <t>Ave</t>
  </si>
  <si>
    <t>N Ave</t>
  </si>
  <si>
    <t>Caranguejo</t>
  </si>
  <si>
    <t>N Caranguejo</t>
  </si>
  <si>
    <t>Peixe</t>
  </si>
  <si>
    <t xml:space="preserve">N Peixe </t>
  </si>
  <si>
    <t>Cephalopo</t>
  </si>
  <si>
    <t>N Cephalopo</t>
  </si>
  <si>
    <t>Gastropoda</t>
  </si>
  <si>
    <t>N Gastropoda</t>
  </si>
  <si>
    <t>Vegetal NI</t>
  </si>
  <si>
    <t>N Vegetal NI</t>
  </si>
  <si>
    <t>Sementes</t>
  </si>
  <si>
    <t>N Sementes</t>
  </si>
  <si>
    <t>Grama</t>
  </si>
  <si>
    <t>N Grama</t>
  </si>
  <si>
    <t>Aranha</t>
  </si>
  <si>
    <t>N Aranha</t>
  </si>
  <si>
    <t>Inseto NI</t>
  </si>
  <si>
    <t>N Inseto NI</t>
  </si>
  <si>
    <t>Diplopo</t>
  </si>
  <si>
    <t>N Diplopo</t>
  </si>
  <si>
    <t>Formiga</t>
  </si>
  <si>
    <t>N Formiga</t>
  </si>
  <si>
    <t>Coleop</t>
  </si>
  <si>
    <t>N Coleop</t>
  </si>
  <si>
    <t>Blatodea</t>
  </si>
  <si>
    <t>N Blatodea</t>
  </si>
  <si>
    <t>N Semente G</t>
  </si>
  <si>
    <t>N Semente P</t>
  </si>
  <si>
    <t>N Semente lar.</t>
  </si>
  <si>
    <t>Semente G</t>
  </si>
  <si>
    <t>Semente P</t>
  </si>
  <si>
    <t>Semente lar.</t>
  </si>
  <si>
    <t>Capim-Açu</t>
  </si>
  <si>
    <t>MAR</t>
  </si>
  <si>
    <t>Felis catus</t>
  </si>
  <si>
    <t>D</t>
  </si>
  <si>
    <t>Ninhal</t>
  </si>
  <si>
    <t>11/</t>
  </si>
  <si>
    <t>MAI</t>
  </si>
  <si>
    <t>Abreus</t>
  </si>
  <si>
    <t>FEV</t>
  </si>
  <si>
    <t>10/</t>
  </si>
  <si>
    <t>JUN</t>
  </si>
  <si>
    <t>2/</t>
  </si>
  <si>
    <t>NOV</t>
  </si>
  <si>
    <t>OUT</t>
  </si>
  <si>
    <t>SET</t>
  </si>
  <si>
    <t>AGO</t>
  </si>
  <si>
    <t>Sueste</t>
  </si>
  <si>
    <t>C</t>
  </si>
  <si>
    <t>Leão-caracas</t>
  </si>
  <si>
    <t>T02-003</t>
  </si>
  <si>
    <t>Vila do Trinta-Caiera</t>
  </si>
  <si>
    <t>T01-002</t>
  </si>
  <si>
    <t>Abreus-Sueste</t>
  </si>
  <si>
    <t>T03-001</t>
  </si>
  <si>
    <t>T02-004</t>
  </si>
  <si>
    <t>T05-003</t>
  </si>
  <si>
    <t>T03-002</t>
  </si>
  <si>
    <t>T05-002</t>
  </si>
  <si>
    <t>T02-001</t>
  </si>
  <si>
    <t>T02-002</t>
  </si>
  <si>
    <t>Atalaia</t>
  </si>
  <si>
    <t>T07-002</t>
  </si>
  <si>
    <t>T05-001</t>
  </si>
  <si>
    <t>DEZ</t>
  </si>
  <si>
    <t>TOTAL</t>
  </si>
  <si>
    <t>PV%</t>
  </si>
  <si>
    <t>ITENS</t>
  </si>
  <si>
    <t>MEDIA</t>
  </si>
  <si>
    <t>MÉDIA</t>
  </si>
  <si>
    <t>PN%</t>
  </si>
  <si>
    <t>SOMA</t>
  </si>
  <si>
    <t>PN% SEM VEGETAL</t>
  </si>
  <si>
    <t>PV% SEM VEGETAL</t>
  </si>
  <si>
    <t>Itens Alimentares</t>
  </si>
  <si>
    <t>FO</t>
  </si>
  <si>
    <t>N</t>
  </si>
  <si>
    <t>PV %</t>
  </si>
  <si>
    <t>%PSIRI</t>
  </si>
  <si>
    <t>%PSIRI = [(%PN + %PM)* %FO] / 2/100</t>
  </si>
  <si>
    <t xml:space="preserve">FO    </t>
  </si>
  <si>
    <t>FO%</t>
  </si>
  <si>
    <t>N%</t>
  </si>
  <si>
    <t>COM VEG</t>
  </si>
  <si>
    <t>SEM VEG</t>
  </si>
  <si>
    <t>Mamíferos</t>
  </si>
  <si>
    <t>x</t>
  </si>
  <si>
    <t>PN %</t>
  </si>
  <si>
    <t>PN% + PV%</t>
  </si>
  <si>
    <t>x FO%</t>
  </si>
  <si>
    <t>/2</t>
  </si>
  <si>
    <t>/100</t>
  </si>
  <si>
    <t xml:space="preserve">  Mamifero NI</t>
  </si>
  <si>
    <t>Mamifero NI</t>
  </si>
  <si>
    <t xml:space="preserve">  Roedores</t>
  </si>
  <si>
    <t>Roedores NI</t>
  </si>
  <si>
    <t xml:space="preserve">     Roedores NI</t>
  </si>
  <si>
    <t>Rattus sp</t>
  </si>
  <si>
    <t xml:space="preserve">     Rattus sp</t>
  </si>
  <si>
    <t>Kerodon rupestris</t>
  </si>
  <si>
    <t xml:space="preserve">     Kerodon rupestris</t>
  </si>
  <si>
    <t>Trachylepis atlantica</t>
  </si>
  <si>
    <t>Réptil</t>
  </si>
  <si>
    <r>
      <t xml:space="preserve">   </t>
    </r>
    <r>
      <rPr>
        <i/>
        <sz val="11"/>
        <color theme="1"/>
        <rFont val="Times New Roman"/>
        <family val="1"/>
      </rPr>
      <t>Trachylepis atlantica</t>
    </r>
  </si>
  <si>
    <t>Cephalopoda</t>
  </si>
  <si>
    <t>Artropoda</t>
  </si>
  <si>
    <t xml:space="preserve">   Caranguejo</t>
  </si>
  <si>
    <r>
      <t xml:space="preserve">   </t>
    </r>
    <r>
      <rPr>
        <sz val="11"/>
        <color theme="1"/>
        <rFont val="Times New Roman"/>
        <family val="1"/>
      </rPr>
      <t>Aranha</t>
    </r>
  </si>
  <si>
    <t>Diplopoda</t>
  </si>
  <si>
    <t xml:space="preserve">   Inseto</t>
  </si>
  <si>
    <t>Coleoptera</t>
  </si>
  <si>
    <r>
      <t xml:space="preserve">      </t>
    </r>
    <r>
      <rPr>
        <sz val="11"/>
        <color theme="1"/>
        <rFont val="Times New Roman"/>
        <family val="1"/>
      </rPr>
      <t>Inseto NI</t>
    </r>
  </si>
  <si>
    <r>
      <t xml:space="preserve">      </t>
    </r>
    <r>
      <rPr>
        <sz val="11"/>
        <color theme="1"/>
        <rFont val="Times New Roman"/>
        <family val="1"/>
      </rPr>
      <t>Formiga</t>
    </r>
  </si>
  <si>
    <t xml:space="preserve">      Diplopoda</t>
  </si>
  <si>
    <t xml:space="preserve"> </t>
  </si>
  <si>
    <r>
      <t xml:space="preserve">      </t>
    </r>
    <r>
      <rPr>
        <sz val="11"/>
        <color theme="1"/>
        <rFont val="Times New Roman"/>
        <family val="1"/>
      </rPr>
      <t>Coleoptera</t>
    </r>
  </si>
  <si>
    <r>
      <t xml:space="preserve">      </t>
    </r>
    <r>
      <rPr>
        <sz val="11"/>
        <color theme="1"/>
        <rFont val="Times New Roman"/>
        <family val="1"/>
      </rPr>
      <t>Blatodea</t>
    </r>
  </si>
  <si>
    <t>Vegetal</t>
  </si>
  <si>
    <t>X</t>
  </si>
  <si>
    <t xml:space="preserve">    Vegetal NI</t>
  </si>
  <si>
    <t xml:space="preserve">    Sementes</t>
  </si>
  <si>
    <t xml:space="preserve">    Grama</t>
  </si>
  <si>
    <t>77 amostras</t>
  </si>
  <si>
    <t>425 presas</t>
  </si>
  <si>
    <t>Diplopodo</t>
  </si>
  <si>
    <t>Mamífero</t>
  </si>
  <si>
    <t>Inseto</t>
  </si>
  <si>
    <t>Roedores</t>
  </si>
  <si>
    <t>T. atlantica</t>
  </si>
  <si>
    <t xml:space="preserve">  Inseto NI</t>
  </si>
  <si>
    <t xml:space="preserve">  Formiga</t>
  </si>
  <si>
    <t xml:space="preserve">  Diplopoda</t>
  </si>
  <si>
    <t xml:space="preserve">  Coleoptera</t>
  </si>
  <si>
    <t xml:space="preserve">  Blatodea</t>
  </si>
  <si>
    <t>Teiu</t>
  </si>
  <si>
    <t>Psiri</t>
  </si>
  <si>
    <t>Gato</t>
  </si>
  <si>
    <t>Rato</t>
  </si>
  <si>
    <r>
      <t xml:space="preserve">Contribuição de </t>
    </r>
    <r>
      <rPr>
        <i/>
        <sz val="12"/>
        <color theme="1"/>
        <rFont val="Times New Roman"/>
        <family val="1"/>
      </rPr>
      <t>T. atlantica</t>
    </r>
  </si>
  <si>
    <t>correção</t>
  </si>
  <si>
    <t>Roedor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</si>
</sst>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5"/>
      <color theme="1"/>
      <name val="Times New Roman"/>
      <family val="1"/>
    </font>
    <font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33D9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52">
    <xf numFmtId="0" fontId="0" fillId="0" borderId="0" xfId="0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3" xfId="0" applyBorder="1"/>
    <xf numFmtId="0" fontId="1" fillId="2" borderId="3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9" fontId="0" fillId="0" borderId="0" xfId="1" applyFont="1"/>
    <xf numFmtId="10" fontId="0" fillId="0" borderId="0" xfId="0" applyNumberFormat="1"/>
    <xf numFmtId="0" fontId="0" fillId="7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2" fontId="0" fillId="0" borderId="3" xfId="0" applyNumberFormat="1" applyBorder="1"/>
    <xf numFmtId="0" fontId="0" fillId="0" borderId="3" xfId="1" applyNumberFormat="1" applyFon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6" fillId="0" borderId="1" xfId="0" applyFont="1" applyBorder="1"/>
    <xf numFmtId="0" fontId="7" fillId="0" borderId="3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7" fillId="0" borderId="1" xfId="0" applyFont="1" applyBorder="1"/>
    <xf numFmtId="0" fontId="7" fillId="0" borderId="0" xfId="1" applyNumberFormat="1" applyFont="1" applyAlignment="1">
      <alignment horizontal="center" vertical="center"/>
    </xf>
    <xf numFmtId="2" fontId="7" fillId="0" borderId="0" xfId="0" applyNumberFormat="1" applyFont="1"/>
    <xf numFmtId="0" fontId="7" fillId="0" borderId="3" xfId="0" applyFont="1" applyBorder="1" applyAlignment="1">
      <alignment horizontal="left"/>
    </xf>
    <xf numFmtId="1" fontId="7" fillId="0" borderId="3" xfId="0" applyNumberFormat="1" applyFont="1" applyBorder="1" applyAlignment="1">
      <alignment horizontal="center"/>
    </xf>
    <xf numFmtId="2" fontId="7" fillId="0" borderId="3" xfId="0" applyNumberFormat="1" applyFont="1" applyBorder="1" applyAlignment="1">
      <alignment horizontal="center"/>
    </xf>
    <xf numFmtId="2" fontId="9" fillId="0" borderId="3" xfId="0" applyNumberFormat="1" applyFont="1" applyBorder="1"/>
    <xf numFmtId="0" fontId="7" fillId="0" borderId="0" xfId="0" applyFont="1" applyAlignment="1">
      <alignment horizontal="right"/>
    </xf>
    <xf numFmtId="0" fontId="7" fillId="0" borderId="3" xfId="1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left"/>
    </xf>
    <xf numFmtId="0" fontId="11" fillId="0" borderId="0" xfId="0" applyFont="1" applyAlignment="1">
      <alignment horizontal="right"/>
    </xf>
    <xf numFmtId="0" fontId="7" fillId="0" borderId="3" xfId="1" applyNumberFormat="1" applyFont="1" applyBorder="1" applyAlignment="1">
      <alignment horizontal="center"/>
    </xf>
    <xf numFmtId="0" fontId="7" fillId="0" borderId="3" xfId="0" applyFont="1" applyBorder="1"/>
    <xf numFmtId="2" fontId="7" fillId="0" borderId="3" xfId="0" applyNumberFormat="1" applyFont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6" fillId="0" borderId="0" xfId="0" applyFont="1"/>
    <xf numFmtId="0" fontId="7" fillId="5" borderId="3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0" borderId="0" xfId="1" applyNumberFormat="1" applyFont="1" applyFill="1" applyBorder="1"/>
    <xf numFmtId="0" fontId="7" fillId="0" borderId="0" xfId="0" applyFont="1" applyAlignment="1">
      <alignment horizontal="left"/>
    </xf>
    <xf numFmtId="0" fontId="7" fillId="2" borderId="3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0" borderId="3" xfId="1" applyNumberFormat="1" applyFont="1" applyBorder="1"/>
    <xf numFmtId="0" fontId="12" fillId="3" borderId="1" xfId="0" applyFont="1" applyFill="1" applyBorder="1"/>
    <xf numFmtId="0" fontId="12" fillId="2" borderId="3" xfId="0" applyFont="1" applyFill="1" applyBorder="1" applyAlignment="1">
      <alignment horizontal="center"/>
    </xf>
    <xf numFmtId="0" fontId="13" fillId="3" borderId="1" xfId="0" applyFont="1" applyFill="1" applyBorder="1"/>
    <xf numFmtId="0" fontId="12" fillId="8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9" fontId="0" fillId="0" borderId="3" xfId="0" applyNumberFormat="1" applyBorder="1"/>
    <xf numFmtId="9" fontId="0" fillId="0" borderId="3" xfId="1" applyFont="1" applyBorder="1"/>
    <xf numFmtId="0" fontId="0" fillId="6" borderId="3" xfId="0" applyFill="1" applyBorder="1"/>
    <xf numFmtId="10" fontId="0" fillId="9" borderId="3" xfId="1" applyNumberFormat="1" applyFont="1" applyFill="1" applyBorder="1" applyAlignment="1">
      <alignment horizontal="center"/>
    </xf>
    <xf numFmtId="10" fontId="0" fillId="9" borderId="3" xfId="0" applyNumberFormat="1" applyFill="1" applyBorder="1" applyAlignment="1">
      <alignment horizontal="center"/>
    </xf>
    <xf numFmtId="9" fontId="0" fillId="9" borderId="3" xfId="1" applyFon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3" xfId="0" applyNumberFormat="1" applyBorder="1"/>
    <xf numFmtId="10" fontId="0" fillId="0" borderId="3" xfId="1" applyNumberFormat="1" applyFont="1" applyBorder="1"/>
    <xf numFmtId="10" fontId="0" fillId="0" borderId="3" xfId="0" applyNumberFormat="1" applyBorder="1"/>
    <xf numFmtId="10" fontId="0" fillId="9" borderId="3" xfId="0" applyNumberFormat="1" applyFill="1" applyBorder="1"/>
    <xf numFmtId="0" fontId="12" fillId="8" borderId="0" xfId="0" applyFont="1" applyFill="1" applyAlignment="1">
      <alignment horizontal="center"/>
    </xf>
    <xf numFmtId="0" fontId="12" fillId="8" borderId="0" xfId="0" applyFont="1" applyFill="1"/>
    <xf numFmtId="0" fontId="13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164" fontId="13" fillId="0" borderId="3" xfId="0" applyNumberFormat="1" applyFont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3" xfId="0" applyFont="1" applyBorder="1"/>
    <xf numFmtId="0" fontId="14" fillId="0" borderId="0" xfId="0" applyFont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2" fontId="13" fillId="0" borderId="0" xfId="0" applyNumberFormat="1" applyFont="1" applyAlignment="1">
      <alignment horizontal="center"/>
    </xf>
    <xf numFmtId="0" fontId="13" fillId="5" borderId="3" xfId="0" applyFont="1" applyFill="1" applyBorder="1" applyAlignment="1">
      <alignment horizontal="center"/>
    </xf>
    <xf numFmtId="2" fontId="13" fillId="0" borderId="0" xfId="0" applyNumberFormat="1" applyFont="1"/>
    <xf numFmtId="0" fontId="13" fillId="4" borderId="6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/>
    </xf>
    <xf numFmtId="2" fontId="13" fillId="0" borderId="3" xfId="0" applyNumberFormat="1" applyFont="1" applyBorder="1"/>
    <xf numFmtId="2" fontId="13" fillId="6" borderId="3" xfId="0" applyNumberFormat="1" applyFont="1" applyFill="1" applyBorder="1" applyAlignment="1">
      <alignment horizontal="center"/>
    </xf>
    <xf numFmtId="2" fontId="13" fillId="7" borderId="3" xfId="0" applyNumberFormat="1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/>
    </xf>
    <xf numFmtId="164" fontId="12" fillId="0" borderId="3" xfId="0" applyNumberFormat="1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10" fontId="13" fillId="0" borderId="3" xfId="1" applyNumberFormat="1" applyFont="1" applyBorder="1" applyAlignment="1">
      <alignment vertical="center"/>
    </xf>
    <xf numFmtId="164" fontId="13" fillId="0" borderId="3" xfId="0" applyNumberFormat="1" applyFont="1" applyBorder="1" applyAlignment="1">
      <alignment vertical="center"/>
    </xf>
    <xf numFmtId="0" fontId="13" fillId="10" borderId="3" xfId="0" applyFont="1" applyFill="1" applyBorder="1" applyAlignment="1">
      <alignment horizontal="center"/>
    </xf>
    <xf numFmtId="164" fontId="13" fillId="6" borderId="3" xfId="0" applyNumberFormat="1" applyFont="1" applyFill="1" applyBorder="1" applyAlignment="1">
      <alignment horizontal="center" vertical="center"/>
    </xf>
    <xf numFmtId="2" fontId="13" fillId="7" borderId="3" xfId="0" applyNumberFormat="1" applyFont="1" applyFill="1" applyBorder="1" applyAlignment="1">
      <alignment vertical="center"/>
    </xf>
    <xf numFmtId="0" fontId="12" fillId="11" borderId="3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2" fillId="11" borderId="8" xfId="0" applyFont="1" applyFill="1" applyBorder="1" applyAlignment="1">
      <alignment horizontal="center"/>
    </xf>
    <xf numFmtId="0" fontId="7" fillId="0" borderId="7" xfId="0" applyFont="1" applyBorder="1"/>
    <xf numFmtId="0" fontId="10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9" xfId="0" applyFont="1" applyBorder="1"/>
    <xf numFmtId="0" fontId="6" fillId="0" borderId="10" xfId="0" applyFont="1" applyBorder="1"/>
    <xf numFmtId="0" fontId="0" fillId="0" borderId="0" xfId="0" applyAlignment="1">
      <alignment horizontal="left"/>
    </xf>
    <xf numFmtId="0" fontId="13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12" fillId="0" borderId="3" xfId="0" applyFont="1" applyBorder="1"/>
    <xf numFmtId="0" fontId="15" fillId="0" borderId="3" xfId="0" applyFont="1" applyBorder="1"/>
    <xf numFmtId="2" fontId="16" fillId="0" borderId="3" xfId="0" applyNumberFormat="1" applyFont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 vertical="center"/>
    </xf>
    <xf numFmtId="2" fontId="9" fillId="0" borderId="0" xfId="0" applyNumberFormat="1" applyFont="1" applyAlignment="1">
      <alignment horizontal="center"/>
    </xf>
    <xf numFmtId="2" fontId="6" fillId="13" borderId="0" xfId="0" applyNumberFormat="1" applyFont="1" applyFill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/>
    </xf>
    <xf numFmtId="2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0" fillId="0" borderId="0" xfId="0" applyNumberFormat="1"/>
    <xf numFmtId="0" fontId="10" fillId="10" borderId="3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0" fillId="10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2" fillId="12" borderId="2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12" fillId="12" borderId="4" xfId="0" applyFont="1" applyFill="1" applyBorder="1" applyAlignment="1">
      <alignment horizontal="center"/>
    </xf>
    <xf numFmtId="0" fontId="12" fillId="12" borderId="5" xfId="0" applyFont="1" applyFill="1" applyBorder="1" applyAlignment="1">
      <alignment horizontal="center"/>
    </xf>
    <xf numFmtId="0" fontId="1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6600"/>
      <color rgb="FFFFFF00"/>
      <color rgb="FFFFC671"/>
      <color rgb="FFF8D0F2"/>
      <color rgb="FFE969B2"/>
      <color rgb="FFE33D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Insetos</a:t>
            </a:r>
          </a:p>
        </c:rich>
      </c:tx>
      <c:layout>
        <c:manualLayout>
          <c:xMode val="edge"/>
          <c:yMode val="edge"/>
          <c:x val="0.4954756771908365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2519175394338"/>
          <c:y val="0.13409776902887138"/>
          <c:w val="0.44539775246540786"/>
          <c:h val="0.7964577865266842"/>
        </c:manualLayout>
      </c:layout>
      <c:doughnutChart>
        <c:varyColors val="1"/>
        <c:ser>
          <c:idx val="0"/>
          <c:order val="0"/>
          <c:tx>
            <c:strRef>
              <c:f>gráficos!$S$18</c:f>
              <c:strCache>
                <c:ptCount val="1"/>
                <c:pt idx="0">
                  <c:v>Aranha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22-46AE-90DE-92E7C431CF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C0B-4F47-8BCD-E3B4445CDC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C0B-4F47-8BCD-E3B4445CDC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C0B-4F47-8BCD-E3B4445CDC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C0B-4F47-8BCD-E3B4445CDC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C0B-4F47-8BCD-E3B4445CDC9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C0B-4F47-8BCD-E3B4445CDC9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C0B-4F47-8BCD-E3B4445CDC99}"/>
              </c:ext>
            </c:extLst>
          </c:dPt>
          <c:cat>
            <c:strRef>
              <c:f>gráficos!$R$19:$R$26</c:f>
              <c:strCache>
                <c:ptCount val="7"/>
                <c:pt idx="0">
                  <c:v>Aranha</c:v>
                </c:pt>
                <c:pt idx="1">
                  <c:v>Caranguejo</c:v>
                </c:pt>
                <c:pt idx="2">
                  <c:v>Inseto NI</c:v>
                </c:pt>
                <c:pt idx="3">
                  <c:v>Formiga</c:v>
                </c:pt>
                <c:pt idx="4">
                  <c:v>Diplopoda</c:v>
                </c:pt>
                <c:pt idx="5">
                  <c:v>Coleoptera</c:v>
                </c:pt>
                <c:pt idx="6">
                  <c:v>Blatodea</c:v>
                </c:pt>
              </c:strCache>
            </c:strRef>
          </c:cat>
          <c:val>
            <c:numRef>
              <c:f>gráficos!$S$19:$S$26</c:f>
              <c:numCache>
                <c:formatCode>General</c:formatCode>
                <c:ptCount val="8"/>
                <c:pt idx="0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2-46AE-90DE-92E7C431CF74}"/>
            </c:ext>
          </c:extLst>
        </c:ser>
        <c:ser>
          <c:idx val="1"/>
          <c:order val="1"/>
          <c:tx>
            <c:strRef>
              <c:f>gráficos!$T$18</c:f>
              <c:strCache>
                <c:ptCount val="1"/>
                <c:pt idx="0">
                  <c:v>Caranguejo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C0B-4F47-8BCD-E3B4445CDC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C0B-4F47-8BCD-E3B4445CDC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C0B-4F47-8BCD-E3B4445CDC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C0B-4F47-8BCD-E3B4445CDC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C0B-4F47-8BCD-E3B4445CDC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C0B-4F47-8BCD-E3B4445CDC9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C0B-4F47-8BCD-E3B4445CDC9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C0B-4F47-8BCD-E3B4445CDC99}"/>
              </c:ext>
            </c:extLst>
          </c:dPt>
          <c:cat>
            <c:strRef>
              <c:f>gráficos!$R$19:$R$26</c:f>
              <c:strCache>
                <c:ptCount val="7"/>
                <c:pt idx="0">
                  <c:v>Aranha</c:v>
                </c:pt>
                <c:pt idx="1">
                  <c:v>Caranguejo</c:v>
                </c:pt>
                <c:pt idx="2">
                  <c:v>Inseto NI</c:v>
                </c:pt>
                <c:pt idx="3">
                  <c:v>Formiga</c:v>
                </c:pt>
                <c:pt idx="4">
                  <c:v>Diplopoda</c:v>
                </c:pt>
                <c:pt idx="5">
                  <c:v>Coleoptera</c:v>
                </c:pt>
                <c:pt idx="6">
                  <c:v>Blatodea</c:v>
                </c:pt>
              </c:strCache>
            </c:strRef>
          </c:cat>
          <c:val>
            <c:numRef>
              <c:f>gráficos!$T$19:$T$26</c:f>
              <c:numCache>
                <c:formatCode>General</c:formatCode>
                <c:ptCount val="8"/>
                <c:pt idx="1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22-46AE-90DE-92E7C431CF74}"/>
            </c:ext>
          </c:extLst>
        </c:ser>
        <c:ser>
          <c:idx val="2"/>
          <c:order val="2"/>
          <c:tx>
            <c:strRef>
              <c:f>gráficos!$U$18</c:f>
              <c:strCache>
                <c:ptCount val="1"/>
                <c:pt idx="0">
                  <c:v>Inseto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6C0B-4F47-8BCD-E3B4445CDC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6C0B-4F47-8BCD-E3B4445CDC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6C0B-4F47-8BCD-E3B4445CDC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A22-46AE-90DE-92E7C431CF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6C0B-4F47-8BCD-E3B4445CDC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6C0B-4F47-8BCD-E3B4445CDC9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6C0B-4F47-8BCD-E3B4445CDC9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6C0B-4F47-8BCD-E3B4445CDC99}"/>
              </c:ext>
            </c:extLst>
          </c:dPt>
          <c:cat>
            <c:strRef>
              <c:f>gráficos!$R$19:$R$26</c:f>
              <c:strCache>
                <c:ptCount val="7"/>
                <c:pt idx="0">
                  <c:v>Aranha</c:v>
                </c:pt>
                <c:pt idx="1">
                  <c:v>Caranguejo</c:v>
                </c:pt>
                <c:pt idx="2">
                  <c:v>Inseto NI</c:v>
                </c:pt>
                <c:pt idx="3">
                  <c:v>Formiga</c:v>
                </c:pt>
                <c:pt idx="4">
                  <c:v>Diplopoda</c:v>
                </c:pt>
                <c:pt idx="5">
                  <c:v>Coleoptera</c:v>
                </c:pt>
                <c:pt idx="6">
                  <c:v>Blatodea</c:v>
                </c:pt>
              </c:strCache>
            </c:strRef>
          </c:cat>
          <c:val>
            <c:numRef>
              <c:f>gráficos!$U$19:$U$26</c:f>
              <c:numCache>
                <c:formatCode>General</c:formatCode>
                <c:ptCount val="8"/>
                <c:pt idx="2">
                  <c:v>1.1499999999999999</c:v>
                </c:pt>
                <c:pt idx="3">
                  <c:v>7.27</c:v>
                </c:pt>
                <c:pt idx="4">
                  <c:v>1.52</c:v>
                </c:pt>
                <c:pt idx="5">
                  <c:v>0.28999999999999998</c:v>
                </c:pt>
                <c:pt idx="6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22-46AE-90DE-92E7C431C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ayout>
        <c:manualLayout>
          <c:xMode val="edge"/>
          <c:yMode val="edge"/>
          <c:x val="0.7249488571210152"/>
          <c:y val="0.28437299504228636"/>
          <c:w val="0.22350768289886094"/>
          <c:h val="0.54224919801691451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>
                <a:latin typeface="Times New Roman" panose="02020603050405020304" pitchFamily="18" charset="0"/>
                <a:cs typeface="Times New Roman" panose="02020603050405020304" pitchFamily="18" charset="0"/>
              </a:rPr>
              <a:t>Composição</a:t>
            </a:r>
            <a:r>
              <a:rPr lang="pt-BR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de Roedores na dieta de </a:t>
            </a:r>
            <a:r>
              <a:rPr lang="pt-BR" i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Felis cattus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[1]gráficos!$P$13</c:f>
              <c:strCache>
                <c:ptCount val="1"/>
                <c:pt idx="0">
                  <c:v>Roedores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5000000000000001E-2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16-4B8E-BB9E-4140878AE70A}"/>
                </c:ext>
              </c:extLst>
            </c:dLbl>
            <c:dLbl>
              <c:idx val="1"/>
              <c:layout>
                <c:manualLayout>
                  <c:x val="2.4999999999999897E-2"/>
                  <c:y val="-2.31481481481481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16-4B8E-BB9E-4140878AE70A}"/>
                </c:ext>
              </c:extLst>
            </c:dLbl>
            <c:dLbl>
              <c:idx val="2"/>
              <c:layout>
                <c:manualLayout>
                  <c:x val="2.7777777777777776E-2"/>
                  <c:y val="-2.31481481481481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16-4B8E-BB9E-4140878AE7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[1]gráficos!$O$14:$O$16</c:f>
              <c:strCache>
                <c:ptCount val="3"/>
                <c:pt idx="0">
                  <c:v>Roedor NI</c:v>
                </c:pt>
                <c:pt idx="1">
                  <c:v>Rattus</c:v>
                </c:pt>
                <c:pt idx="2">
                  <c:v>Kerodon</c:v>
                </c:pt>
              </c:strCache>
            </c:strRef>
          </c:cat>
          <c:val>
            <c:numRef>
              <c:f>[1]gráficos!$P$14:$P$16</c:f>
              <c:numCache>
                <c:formatCode>General</c:formatCode>
                <c:ptCount val="3"/>
                <c:pt idx="0">
                  <c:v>9.8800000000000008</c:v>
                </c:pt>
                <c:pt idx="1">
                  <c:v>10.96</c:v>
                </c:pt>
                <c:pt idx="2">
                  <c:v>10.55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16-4B8E-BB9E-4140878AE7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28705240"/>
        <c:axId val="329129152"/>
        <c:axId val="0"/>
      </c:bar3DChart>
      <c:catAx>
        <c:axId val="328705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29129152"/>
        <c:crosses val="autoZero"/>
        <c:auto val="1"/>
        <c:lblAlgn val="ctr"/>
        <c:lblOffset val="100"/>
        <c:noMultiLvlLbl val="0"/>
      </c:catAx>
      <c:valAx>
        <c:axId val="329129152"/>
        <c:scaling>
          <c:orientation val="minMax"/>
          <c:max val="11.000000000000011"/>
          <c:min val="9.000000000000010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05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Importância</a:t>
                </a:r>
                <a:r>
                  <a:rPr lang="pt-BR" sz="105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Presa-específica (%)</a:t>
                </a:r>
                <a:endParaRPr lang="pt-BR" sz="105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4370516185476818E-2"/>
              <c:y val="0.196512467191601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705240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[1]gráficos!$F$15</c:f>
              <c:strCache>
                <c:ptCount val="1"/>
                <c:pt idx="0">
                  <c:v>Mamífero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5CE-45D1-AE6A-FE00EC0873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[1]gráficos!$E$16:$E$23</c15:sqref>
                  </c15:fullRef>
                </c:ext>
              </c:extLst>
              <c:f>[1]gráficos!$E$17:$E$23</c:f>
              <c:strCache>
                <c:ptCount val="7"/>
                <c:pt idx="0">
                  <c:v>Roedores</c:v>
                </c:pt>
                <c:pt idx="1">
                  <c:v>T. atlantica</c:v>
                </c:pt>
                <c:pt idx="2">
                  <c:v>Ave</c:v>
                </c:pt>
                <c:pt idx="3">
                  <c:v>Peixe</c:v>
                </c:pt>
                <c:pt idx="4">
                  <c:v>Cephalopoda</c:v>
                </c:pt>
                <c:pt idx="5">
                  <c:v>Gastropoda</c:v>
                </c:pt>
                <c:pt idx="6">
                  <c:v>Artropoda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[1]gráficos!$F$16:$F$23</c15:sqref>
                  </c15:fullRef>
                </c:ext>
              </c:extLst>
              <c:f>[1]gráficos!$F$17:$F$23</c:f>
              <c:numCache>
                <c:formatCode>General</c:formatCode>
                <c:ptCount val="7"/>
                <c:pt idx="0">
                  <c:v>31.29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5-4B70-A2F6-6C98107B4281}"/>
            </c:ext>
          </c:extLst>
        </c:ser>
        <c:ser>
          <c:idx val="1"/>
          <c:order val="1"/>
          <c:tx>
            <c:strRef>
              <c:f>[1]gráficos!$G$15</c:f>
              <c:strCache>
                <c:ptCount val="1"/>
                <c:pt idx="0">
                  <c:v>Réptil</c:v>
                </c:pt>
              </c:strCache>
            </c:strRef>
          </c:tx>
          <c:spPr>
            <a:solidFill>
              <a:srgbClr val="FFC67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[1]gráficos!$E$16:$E$23</c15:sqref>
                  </c15:fullRef>
                </c:ext>
              </c:extLst>
              <c:f>[1]gráficos!$E$17:$E$23</c:f>
              <c:strCache>
                <c:ptCount val="7"/>
                <c:pt idx="0">
                  <c:v>Roedores</c:v>
                </c:pt>
                <c:pt idx="1">
                  <c:v>T. atlantica</c:v>
                </c:pt>
                <c:pt idx="2">
                  <c:v>Ave</c:v>
                </c:pt>
                <c:pt idx="3">
                  <c:v>Peixe</c:v>
                </c:pt>
                <c:pt idx="4">
                  <c:v>Cephalopoda</c:v>
                </c:pt>
                <c:pt idx="5">
                  <c:v>Gastropoda</c:v>
                </c:pt>
                <c:pt idx="6">
                  <c:v>Artropoda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[1]gráficos!$G$16:$G$23</c15:sqref>
                  </c15:fullRef>
                </c:ext>
              </c:extLst>
              <c:f>[1]gráficos!$G$17:$G$23</c:f>
              <c:numCache>
                <c:formatCode>General</c:formatCode>
                <c:ptCount val="7"/>
                <c:pt idx="1">
                  <c:v>18.78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05-4B70-A2F6-6C98107B4281}"/>
            </c:ext>
          </c:extLst>
        </c:ser>
        <c:ser>
          <c:idx val="2"/>
          <c:order val="2"/>
          <c:tx>
            <c:strRef>
              <c:f>[1]gráficos!$H$15</c:f>
              <c:strCache>
                <c:ptCount val="1"/>
                <c:pt idx="0">
                  <c:v>Ave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[1]gráficos!$E$16:$E$23</c15:sqref>
                  </c15:fullRef>
                </c:ext>
              </c:extLst>
              <c:f>[1]gráficos!$E$17:$E$23</c:f>
              <c:strCache>
                <c:ptCount val="7"/>
                <c:pt idx="0">
                  <c:v>Roedores</c:v>
                </c:pt>
                <c:pt idx="1">
                  <c:v>T. atlantica</c:v>
                </c:pt>
                <c:pt idx="2">
                  <c:v>Ave</c:v>
                </c:pt>
                <c:pt idx="3">
                  <c:v>Peixe</c:v>
                </c:pt>
                <c:pt idx="4">
                  <c:v>Cephalopoda</c:v>
                </c:pt>
                <c:pt idx="5">
                  <c:v>Gastropoda</c:v>
                </c:pt>
                <c:pt idx="6">
                  <c:v>Artropoda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[1]gráficos!$H$16:$H$23</c15:sqref>
                  </c15:fullRef>
                </c:ext>
              </c:extLst>
              <c:f>[1]gráficos!$H$17:$H$23</c:f>
              <c:numCache>
                <c:formatCode>General</c:formatCode>
                <c:ptCount val="7"/>
                <c:pt idx="2">
                  <c:v>28.54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05-4B70-A2F6-6C98107B4281}"/>
            </c:ext>
          </c:extLst>
        </c:ser>
        <c:ser>
          <c:idx val="3"/>
          <c:order val="3"/>
          <c:tx>
            <c:strRef>
              <c:f>[1]gráficos!$I$15</c:f>
              <c:strCache>
                <c:ptCount val="1"/>
                <c:pt idx="0">
                  <c:v>Peixe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"/>
                  <c:y val="-5.350685331000282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5CE-45D1-AE6A-FE00EC0873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[1]gráficos!$E$16:$E$23</c15:sqref>
                  </c15:fullRef>
                </c:ext>
              </c:extLst>
              <c:f>[1]gráficos!$E$17:$E$23</c:f>
              <c:strCache>
                <c:ptCount val="7"/>
                <c:pt idx="0">
                  <c:v>Roedores</c:v>
                </c:pt>
                <c:pt idx="1">
                  <c:v>T. atlantica</c:v>
                </c:pt>
                <c:pt idx="2">
                  <c:v>Ave</c:v>
                </c:pt>
                <c:pt idx="3">
                  <c:v>Peixe</c:v>
                </c:pt>
                <c:pt idx="4">
                  <c:v>Cephalopoda</c:v>
                </c:pt>
                <c:pt idx="5">
                  <c:v>Gastropoda</c:v>
                </c:pt>
                <c:pt idx="6">
                  <c:v>Artropoda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[1]gráficos!$I$16:$I$23</c15:sqref>
                  </c15:fullRef>
                </c:ext>
              </c:extLst>
              <c:f>[1]gráficos!$I$17:$I$23</c:f>
              <c:numCache>
                <c:formatCode>General</c:formatCode>
                <c:ptCount val="7"/>
                <c:pt idx="3">
                  <c:v>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05-4B70-A2F6-6C98107B4281}"/>
            </c:ext>
          </c:extLst>
        </c:ser>
        <c:ser>
          <c:idx val="4"/>
          <c:order val="4"/>
          <c:tx>
            <c:strRef>
              <c:f>[1]gráficos!$J$15</c:f>
              <c:strCache>
                <c:ptCount val="1"/>
                <c:pt idx="0">
                  <c:v>Cephalopoda</c:v>
                </c:pt>
              </c:strCache>
            </c:strRef>
          </c:tx>
          <c:spPr>
            <a:solidFill>
              <a:srgbClr val="FF66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[1]gráficos!$E$16:$E$23</c15:sqref>
                  </c15:fullRef>
                </c:ext>
              </c:extLst>
              <c:f>[1]gráficos!$E$17:$E$23</c:f>
              <c:strCache>
                <c:ptCount val="7"/>
                <c:pt idx="0">
                  <c:v>Roedores</c:v>
                </c:pt>
                <c:pt idx="1">
                  <c:v>T. atlantica</c:v>
                </c:pt>
                <c:pt idx="2">
                  <c:v>Ave</c:v>
                </c:pt>
                <c:pt idx="3">
                  <c:v>Peixe</c:v>
                </c:pt>
                <c:pt idx="4">
                  <c:v>Cephalopoda</c:v>
                </c:pt>
                <c:pt idx="5">
                  <c:v>Gastropoda</c:v>
                </c:pt>
                <c:pt idx="6">
                  <c:v>Artropoda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[1]gráficos!$J$16:$J$23</c15:sqref>
                  </c15:fullRef>
                </c:ext>
              </c:extLst>
              <c:f>[1]gráficos!$J$17:$J$23</c:f>
              <c:numCache>
                <c:formatCode>General</c:formatCode>
                <c:ptCount val="7"/>
                <c:pt idx="4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05-4B70-A2F6-6C98107B4281}"/>
            </c:ext>
          </c:extLst>
        </c:ser>
        <c:ser>
          <c:idx val="5"/>
          <c:order val="5"/>
          <c:tx>
            <c:strRef>
              <c:f>[1]gráficos!$K$15</c:f>
              <c:strCache>
                <c:ptCount val="1"/>
                <c:pt idx="0">
                  <c:v>Gastropoda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[1]gráficos!$E$16:$E$23</c15:sqref>
                  </c15:fullRef>
                </c:ext>
              </c:extLst>
              <c:f>[1]gráficos!$E$17:$E$23</c:f>
              <c:strCache>
                <c:ptCount val="7"/>
                <c:pt idx="0">
                  <c:v>Roedores</c:v>
                </c:pt>
                <c:pt idx="1">
                  <c:v>T. atlantica</c:v>
                </c:pt>
                <c:pt idx="2">
                  <c:v>Ave</c:v>
                </c:pt>
                <c:pt idx="3">
                  <c:v>Peixe</c:v>
                </c:pt>
                <c:pt idx="4">
                  <c:v>Cephalopoda</c:v>
                </c:pt>
                <c:pt idx="5">
                  <c:v>Gastropoda</c:v>
                </c:pt>
                <c:pt idx="6">
                  <c:v>Artropoda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[1]gráficos!$K$16:$K$23</c15:sqref>
                  </c15:fullRef>
                </c:ext>
              </c:extLst>
              <c:f>[1]gráficos!$K$17:$K$23</c:f>
              <c:numCache>
                <c:formatCode>General</c:formatCode>
                <c:ptCount val="7"/>
                <c:pt idx="5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05-4B70-A2F6-6C98107B4281}"/>
            </c:ext>
          </c:extLst>
        </c:ser>
        <c:ser>
          <c:idx val="6"/>
          <c:order val="6"/>
          <c:tx>
            <c:strRef>
              <c:f>[1]gráficos!$L$15</c:f>
              <c:strCache>
                <c:ptCount val="1"/>
                <c:pt idx="0">
                  <c:v>Artropoda</c:v>
                </c:pt>
              </c:strCache>
            </c:strRef>
          </c:tx>
          <c:spPr>
            <a:solidFill>
              <a:srgbClr val="F8D0F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[1]gráficos!$E$16:$E$23</c15:sqref>
                  </c15:fullRef>
                </c:ext>
              </c:extLst>
              <c:f>[1]gráficos!$E$17:$E$23</c:f>
              <c:strCache>
                <c:ptCount val="7"/>
                <c:pt idx="0">
                  <c:v>Roedores</c:v>
                </c:pt>
                <c:pt idx="1">
                  <c:v>T. atlantica</c:v>
                </c:pt>
                <c:pt idx="2">
                  <c:v>Ave</c:v>
                </c:pt>
                <c:pt idx="3">
                  <c:v>Peixe</c:v>
                </c:pt>
                <c:pt idx="4">
                  <c:v>Cephalopoda</c:v>
                </c:pt>
                <c:pt idx="5">
                  <c:v>Gastropoda</c:v>
                </c:pt>
                <c:pt idx="6">
                  <c:v>Artropoda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[1]gráficos!$L$16:$L$23</c15:sqref>
                  </c15:fullRef>
                </c:ext>
              </c:extLst>
              <c:f>[1]gráficos!$L$17:$L$23</c:f>
              <c:numCache>
                <c:formatCode>General</c:formatCode>
                <c:ptCount val="7"/>
                <c:pt idx="6">
                  <c:v>13.5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05-4B70-A2F6-6C98107B4281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34663232"/>
        <c:axId val="333724088"/>
      </c:barChart>
      <c:catAx>
        <c:axId val="33466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3724088"/>
        <c:crosses val="autoZero"/>
        <c:auto val="1"/>
        <c:lblAlgn val="ctr"/>
        <c:lblOffset val="100"/>
        <c:noMultiLvlLbl val="0"/>
      </c:catAx>
      <c:valAx>
        <c:axId val="333724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466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Composição da dieta de Felis catus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6580927384076991E-2"/>
          <c:y val="0.11152777777777778"/>
          <c:w val="0.90286351706036749"/>
          <c:h val="0.62371463983668696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[1]gráficos!$E$2</c:f>
              <c:strCache>
                <c:ptCount val="1"/>
                <c:pt idx="0">
                  <c:v>Mamífero 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[1]gráficos!$F$1:$L$1</c:f>
              <c:strCache>
                <c:ptCount val="7"/>
                <c:pt idx="0">
                  <c:v>Mamífero</c:v>
                </c:pt>
                <c:pt idx="1">
                  <c:v>Réptil</c:v>
                </c:pt>
                <c:pt idx="2">
                  <c:v>Ave</c:v>
                </c:pt>
                <c:pt idx="3">
                  <c:v>Peixe</c:v>
                </c:pt>
                <c:pt idx="4">
                  <c:v>Cephalopoda</c:v>
                </c:pt>
                <c:pt idx="5">
                  <c:v>Gastropoda</c:v>
                </c:pt>
                <c:pt idx="6">
                  <c:v>Artropoda</c:v>
                </c:pt>
              </c:strCache>
            </c:strRef>
          </c:cat>
          <c:val>
            <c:numRef>
              <c:f>[1]gráficos!$F$2:$L$2</c:f>
              <c:numCache>
                <c:formatCode>General</c:formatCode>
                <c:ptCount val="7"/>
                <c:pt idx="0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5-4525-9B8C-04FC6DAE51A4}"/>
            </c:ext>
          </c:extLst>
        </c:ser>
        <c:ser>
          <c:idx val="1"/>
          <c:order val="1"/>
          <c:tx>
            <c:strRef>
              <c:f>[1]gráficos!$E$3</c:f>
              <c:strCache>
                <c:ptCount val="1"/>
                <c:pt idx="0">
                  <c:v>Roedores NI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[1]gráficos!$F$1:$L$1</c:f>
              <c:strCache>
                <c:ptCount val="7"/>
                <c:pt idx="0">
                  <c:v>Mamífero</c:v>
                </c:pt>
                <c:pt idx="1">
                  <c:v>Réptil</c:v>
                </c:pt>
                <c:pt idx="2">
                  <c:v>Ave</c:v>
                </c:pt>
                <c:pt idx="3">
                  <c:v>Peixe</c:v>
                </c:pt>
                <c:pt idx="4">
                  <c:v>Cephalopoda</c:v>
                </c:pt>
                <c:pt idx="5">
                  <c:v>Gastropoda</c:v>
                </c:pt>
                <c:pt idx="6">
                  <c:v>Artropoda</c:v>
                </c:pt>
              </c:strCache>
            </c:strRef>
          </c:cat>
          <c:val>
            <c:numRef>
              <c:f>[1]gráficos!$F$3:$L$3</c:f>
              <c:numCache>
                <c:formatCode>General</c:formatCode>
                <c:ptCount val="7"/>
                <c:pt idx="0">
                  <c:v>9.8800000000000008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35-4525-9B8C-04FC6DAE51A4}"/>
            </c:ext>
          </c:extLst>
        </c:ser>
        <c:ser>
          <c:idx val="2"/>
          <c:order val="2"/>
          <c:tx>
            <c:strRef>
              <c:f>[1]gráficos!$E$4</c:f>
              <c:strCache>
                <c:ptCount val="1"/>
                <c:pt idx="0">
                  <c:v>Rattus sp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[1]gráficos!$F$1:$L$1</c:f>
              <c:strCache>
                <c:ptCount val="7"/>
                <c:pt idx="0">
                  <c:v>Mamífero</c:v>
                </c:pt>
                <c:pt idx="1">
                  <c:v>Réptil</c:v>
                </c:pt>
                <c:pt idx="2">
                  <c:v>Ave</c:v>
                </c:pt>
                <c:pt idx="3">
                  <c:v>Peixe</c:v>
                </c:pt>
                <c:pt idx="4">
                  <c:v>Cephalopoda</c:v>
                </c:pt>
                <c:pt idx="5">
                  <c:v>Gastropoda</c:v>
                </c:pt>
                <c:pt idx="6">
                  <c:v>Artropoda</c:v>
                </c:pt>
              </c:strCache>
            </c:strRef>
          </c:cat>
          <c:val>
            <c:numRef>
              <c:f>[1]gráficos!$F$4:$L$4</c:f>
              <c:numCache>
                <c:formatCode>General</c:formatCode>
                <c:ptCount val="7"/>
                <c:pt idx="0">
                  <c:v>10.96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35-4525-9B8C-04FC6DAE51A4}"/>
            </c:ext>
          </c:extLst>
        </c:ser>
        <c:ser>
          <c:idx val="3"/>
          <c:order val="3"/>
          <c:tx>
            <c:strRef>
              <c:f>[1]gráficos!$E$5</c:f>
              <c:strCache>
                <c:ptCount val="1"/>
                <c:pt idx="0">
                  <c:v>Kerodon rupestris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[1]gráficos!$F$1:$L$1</c:f>
              <c:strCache>
                <c:ptCount val="7"/>
                <c:pt idx="0">
                  <c:v>Mamífero</c:v>
                </c:pt>
                <c:pt idx="1">
                  <c:v>Réptil</c:v>
                </c:pt>
                <c:pt idx="2">
                  <c:v>Ave</c:v>
                </c:pt>
                <c:pt idx="3">
                  <c:v>Peixe</c:v>
                </c:pt>
                <c:pt idx="4">
                  <c:v>Cephalopoda</c:v>
                </c:pt>
                <c:pt idx="5">
                  <c:v>Gastropoda</c:v>
                </c:pt>
                <c:pt idx="6">
                  <c:v>Artropoda</c:v>
                </c:pt>
              </c:strCache>
            </c:strRef>
          </c:cat>
          <c:val>
            <c:numRef>
              <c:f>[1]gráficos!$F$5:$L$5</c:f>
              <c:numCache>
                <c:formatCode>General</c:formatCode>
                <c:ptCount val="7"/>
                <c:pt idx="0">
                  <c:v>10.55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35-4525-9B8C-04FC6DAE51A4}"/>
            </c:ext>
          </c:extLst>
        </c:ser>
        <c:ser>
          <c:idx val="4"/>
          <c:order val="4"/>
          <c:tx>
            <c:strRef>
              <c:f>[1]gráficos!$E$6</c:f>
              <c:strCache>
                <c:ptCount val="1"/>
                <c:pt idx="0">
                  <c:v>Trachylepis atlantica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[1]gráficos!$F$1:$L$1</c:f>
              <c:strCache>
                <c:ptCount val="7"/>
                <c:pt idx="0">
                  <c:v>Mamífero</c:v>
                </c:pt>
                <c:pt idx="1">
                  <c:v>Réptil</c:v>
                </c:pt>
                <c:pt idx="2">
                  <c:v>Ave</c:v>
                </c:pt>
                <c:pt idx="3">
                  <c:v>Peixe</c:v>
                </c:pt>
                <c:pt idx="4">
                  <c:v>Cephalopoda</c:v>
                </c:pt>
                <c:pt idx="5">
                  <c:v>Gastropoda</c:v>
                </c:pt>
                <c:pt idx="6">
                  <c:v>Artropoda</c:v>
                </c:pt>
              </c:strCache>
            </c:strRef>
          </c:cat>
          <c:val>
            <c:numRef>
              <c:f>[1]gráficos!$F$6:$L$6</c:f>
              <c:numCache>
                <c:formatCode>General</c:formatCode>
                <c:ptCount val="7"/>
                <c:pt idx="1">
                  <c:v>18.78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35-4525-9B8C-04FC6DAE51A4}"/>
            </c:ext>
          </c:extLst>
        </c:ser>
        <c:ser>
          <c:idx val="5"/>
          <c:order val="5"/>
          <c:tx>
            <c:strRef>
              <c:f>[1]gráficos!$E$7</c:f>
              <c:strCache>
                <c:ptCount val="1"/>
                <c:pt idx="0">
                  <c:v>Ave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[1]gráficos!$F$1:$L$1</c:f>
              <c:strCache>
                <c:ptCount val="7"/>
                <c:pt idx="0">
                  <c:v>Mamífero</c:v>
                </c:pt>
                <c:pt idx="1">
                  <c:v>Réptil</c:v>
                </c:pt>
                <c:pt idx="2">
                  <c:v>Ave</c:v>
                </c:pt>
                <c:pt idx="3">
                  <c:v>Peixe</c:v>
                </c:pt>
                <c:pt idx="4">
                  <c:v>Cephalopoda</c:v>
                </c:pt>
                <c:pt idx="5">
                  <c:v>Gastropoda</c:v>
                </c:pt>
                <c:pt idx="6">
                  <c:v>Artropoda</c:v>
                </c:pt>
              </c:strCache>
            </c:strRef>
          </c:cat>
          <c:val>
            <c:numRef>
              <c:f>[1]gráficos!$F$7:$L$7</c:f>
              <c:numCache>
                <c:formatCode>General</c:formatCode>
                <c:ptCount val="7"/>
                <c:pt idx="2">
                  <c:v>28.54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35-4525-9B8C-04FC6DAE51A4}"/>
            </c:ext>
          </c:extLst>
        </c:ser>
        <c:ser>
          <c:idx val="6"/>
          <c:order val="6"/>
          <c:tx>
            <c:strRef>
              <c:f>[1]gráficos!$E$8</c:f>
              <c:strCache>
                <c:ptCount val="1"/>
                <c:pt idx="0">
                  <c:v>Peixe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3"/>
              <c:layout>
                <c:manualLayout>
                  <c:x val="1.1985015899020107E-2"/>
                  <c:y val="-5.65870910698496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B6-46E8-9120-CEED0B7634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[1]gráficos!$F$1:$L$1</c:f>
              <c:strCache>
                <c:ptCount val="7"/>
                <c:pt idx="0">
                  <c:v>Mamífero</c:v>
                </c:pt>
                <c:pt idx="1">
                  <c:v>Réptil</c:v>
                </c:pt>
                <c:pt idx="2">
                  <c:v>Ave</c:v>
                </c:pt>
                <c:pt idx="3">
                  <c:v>Peixe</c:v>
                </c:pt>
                <c:pt idx="4">
                  <c:v>Cephalopoda</c:v>
                </c:pt>
                <c:pt idx="5">
                  <c:v>Gastropoda</c:v>
                </c:pt>
                <c:pt idx="6">
                  <c:v>Artropoda</c:v>
                </c:pt>
              </c:strCache>
            </c:strRef>
          </c:cat>
          <c:val>
            <c:numRef>
              <c:f>[1]gráficos!$F$8:$L$8</c:f>
              <c:numCache>
                <c:formatCode>General</c:formatCode>
                <c:ptCount val="7"/>
                <c:pt idx="3">
                  <c:v>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35-4525-9B8C-04FC6DAE51A4}"/>
            </c:ext>
          </c:extLst>
        </c:ser>
        <c:ser>
          <c:idx val="7"/>
          <c:order val="7"/>
          <c:tx>
            <c:strRef>
              <c:f>[1]gráficos!$E$9</c:f>
              <c:strCache>
                <c:ptCount val="1"/>
                <c:pt idx="0">
                  <c:v>Cephalopoda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4"/>
              <c:layout>
                <c:manualLayout>
                  <c:x val="7.9900105993468105E-3"/>
                  <c:y val="-4.59770114942528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B6-46E8-9120-CEED0B7634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[1]gráficos!$F$1:$L$1</c:f>
              <c:strCache>
                <c:ptCount val="7"/>
                <c:pt idx="0">
                  <c:v>Mamífero</c:v>
                </c:pt>
                <c:pt idx="1">
                  <c:v>Réptil</c:v>
                </c:pt>
                <c:pt idx="2">
                  <c:v>Ave</c:v>
                </c:pt>
                <c:pt idx="3">
                  <c:v>Peixe</c:v>
                </c:pt>
                <c:pt idx="4">
                  <c:v>Cephalopoda</c:v>
                </c:pt>
                <c:pt idx="5">
                  <c:v>Gastropoda</c:v>
                </c:pt>
                <c:pt idx="6">
                  <c:v>Artropoda</c:v>
                </c:pt>
              </c:strCache>
            </c:strRef>
          </c:cat>
          <c:val>
            <c:numRef>
              <c:f>[1]gráficos!$F$9:$L$9</c:f>
              <c:numCache>
                <c:formatCode>General</c:formatCode>
                <c:ptCount val="7"/>
                <c:pt idx="4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35-4525-9B8C-04FC6DAE51A4}"/>
            </c:ext>
          </c:extLst>
        </c:ser>
        <c:ser>
          <c:idx val="8"/>
          <c:order val="8"/>
          <c:tx>
            <c:strRef>
              <c:f>[1]gráficos!$E$10</c:f>
              <c:strCache>
                <c:ptCount val="1"/>
                <c:pt idx="0">
                  <c:v>Gastropoda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5"/>
              <c:layout>
                <c:manualLayout>
                  <c:x val="9.9875132491834221E-3"/>
                  <c:y val="-5.30503978779842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B6-46E8-9120-CEED0B7634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[1]gráficos!$F$1:$L$1</c:f>
              <c:strCache>
                <c:ptCount val="7"/>
                <c:pt idx="0">
                  <c:v>Mamífero</c:v>
                </c:pt>
                <c:pt idx="1">
                  <c:v>Réptil</c:v>
                </c:pt>
                <c:pt idx="2">
                  <c:v>Ave</c:v>
                </c:pt>
                <c:pt idx="3">
                  <c:v>Peixe</c:v>
                </c:pt>
                <c:pt idx="4">
                  <c:v>Cephalopoda</c:v>
                </c:pt>
                <c:pt idx="5">
                  <c:v>Gastropoda</c:v>
                </c:pt>
                <c:pt idx="6">
                  <c:v>Artropoda</c:v>
                </c:pt>
              </c:strCache>
            </c:strRef>
          </c:cat>
          <c:val>
            <c:numRef>
              <c:f>[1]gráficos!$F$10:$L$10</c:f>
              <c:numCache>
                <c:formatCode>General</c:formatCode>
                <c:ptCount val="7"/>
                <c:pt idx="5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35-4525-9B8C-04FC6DAE51A4}"/>
            </c:ext>
          </c:extLst>
        </c:ser>
        <c:ser>
          <c:idx val="9"/>
          <c:order val="9"/>
          <c:tx>
            <c:strRef>
              <c:f>[1]gráficos!$E$11</c:f>
              <c:strCache>
                <c:ptCount val="1"/>
                <c:pt idx="0">
                  <c:v>Caranguejo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6"/>
              <c:layout>
                <c:manualLayout>
                  <c:x val="5.9925079495100533E-3"/>
                  <c:y val="7.073386383731081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B6-46E8-9120-CEED0B7634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[1]gráficos!$F$1:$L$1</c:f>
              <c:strCache>
                <c:ptCount val="7"/>
                <c:pt idx="0">
                  <c:v>Mamífero</c:v>
                </c:pt>
                <c:pt idx="1">
                  <c:v>Réptil</c:v>
                </c:pt>
                <c:pt idx="2">
                  <c:v>Ave</c:v>
                </c:pt>
                <c:pt idx="3">
                  <c:v>Peixe</c:v>
                </c:pt>
                <c:pt idx="4">
                  <c:v>Cephalopoda</c:v>
                </c:pt>
                <c:pt idx="5">
                  <c:v>Gastropoda</c:v>
                </c:pt>
                <c:pt idx="6">
                  <c:v>Artropoda</c:v>
                </c:pt>
              </c:strCache>
            </c:strRef>
          </c:cat>
          <c:val>
            <c:numRef>
              <c:f>[1]gráficos!$F$11:$L$11</c:f>
              <c:numCache>
                <c:formatCode>General</c:formatCode>
                <c:ptCount val="7"/>
                <c:pt idx="6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35-4525-9B8C-04FC6DAE51A4}"/>
            </c:ext>
          </c:extLst>
        </c:ser>
        <c:ser>
          <c:idx val="10"/>
          <c:order val="10"/>
          <c:tx>
            <c:strRef>
              <c:f>[1]gráficos!$E$12</c:f>
              <c:strCache>
                <c:ptCount val="1"/>
                <c:pt idx="0">
                  <c:v>Aranha</c:v>
                </c:pt>
              </c:strCache>
            </c:strRef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  <a:effectLst/>
            <a:sp3d>
              <a:contourClr>
                <a:srgbClr val="FF6600"/>
              </a:contourClr>
            </a:sp3d>
          </c:spPr>
          <c:invertIfNegative val="0"/>
          <c:dLbls>
            <c:dLbl>
              <c:idx val="6"/>
              <c:layout>
                <c:manualLayout>
                  <c:x val="3.9950052996733688E-3"/>
                  <c:y val="-2.12201591511936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B6-46E8-9120-CEED0B7634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[1]gráficos!$F$1:$L$1</c:f>
              <c:strCache>
                <c:ptCount val="7"/>
                <c:pt idx="0">
                  <c:v>Mamífero</c:v>
                </c:pt>
                <c:pt idx="1">
                  <c:v>Réptil</c:v>
                </c:pt>
                <c:pt idx="2">
                  <c:v>Ave</c:v>
                </c:pt>
                <c:pt idx="3">
                  <c:v>Peixe</c:v>
                </c:pt>
                <c:pt idx="4">
                  <c:v>Cephalopoda</c:v>
                </c:pt>
                <c:pt idx="5">
                  <c:v>Gastropoda</c:v>
                </c:pt>
                <c:pt idx="6">
                  <c:v>Artropoda</c:v>
                </c:pt>
              </c:strCache>
            </c:strRef>
          </c:cat>
          <c:val>
            <c:numRef>
              <c:f>[1]gráficos!$F$12:$L$12</c:f>
              <c:numCache>
                <c:formatCode>General</c:formatCode>
                <c:ptCount val="7"/>
                <c:pt idx="6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235-4525-9B8C-04FC6DAE51A4}"/>
            </c:ext>
          </c:extLst>
        </c:ser>
        <c:ser>
          <c:idx val="11"/>
          <c:order val="11"/>
          <c:tx>
            <c:strRef>
              <c:f>[1]gráficos!$E$13</c:f>
              <c:strCache>
                <c:ptCount val="1"/>
                <c:pt idx="0">
                  <c:v>Inseto</c:v>
                </c:pt>
              </c:strCache>
            </c:strRef>
          </c:tx>
          <c:spPr>
            <a:solidFill>
              <a:srgbClr val="E969B2"/>
            </a:solidFill>
            <a:ln>
              <a:noFill/>
            </a:ln>
            <a:effectLst/>
            <a:sp3d/>
          </c:spPr>
          <c:invertIfNegative val="0"/>
          <c:dLbls>
            <c:dLbl>
              <c:idx val="6"/>
              <c:layout>
                <c:manualLayout>
                  <c:x val="-1.4648183548402691E-16"/>
                  <c:y val="-3.89036251105217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2B6-46E8-9120-CEED0B7634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[1]gráficos!$F$1:$L$1</c:f>
              <c:strCache>
                <c:ptCount val="7"/>
                <c:pt idx="0">
                  <c:v>Mamífero</c:v>
                </c:pt>
                <c:pt idx="1">
                  <c:v>Réptil</c:v>
                </c:pt>
                <c:pt idx="2">
                  <c:v>Ave</c:v>
                </c:pt>
                <c:pt idx="3">
                  <c:v>Peixe</c:v>
                </c:pt>
                <c:pt idx="4">
                  <c:v>Cephalopoda</c:v>
                </c:pt>
                <c:pt idx="5">
                  <c:v>Gastropoda</c:v>
                </c:pt>
                <c:pt idx="6">
                  <c:v>Artropoda</c:v>
                </c:pt>
              </c:strCache>
            </c:strRef>
          </c:cat>
          <c:val>
            <c:numRef>
              <c:f>[1]gráficos!$F$13:$L$13</c:f>
              <c:numCache>
                <c:formatCode>General</c:formatCode>
                <c:ptCount val="7"/>
                <c:pt idx="6">
                  <c:v>10.56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235-4525-9B8C-04FC6DAE51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38169544"/>
        <c:axId val="238170200"/>
        <c:axId val="0"/>
      </c:bar3DChart>
      <c:catAx>
        <c:axId val="238169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8170200"/>
        <c:crosses val="autoZero"/>
        <c:auto val="1"/>
        <c:lblAlgn val="ctr"/>
        <c:lblOffset val="100"/>
        <c:noMultiLvlLbl val="0"/>
      </c:catAx>
      <c:valAx>
        <c:axId val="238170200"/>
        <c:scaling>
          <c:orientation val="minMax"/>
          <c:max val="3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169544"/>
        <c:crosses val="autoZero"/>
        <c:crossBetween val="between"/>
        <c:majorUnit val="5"/>
        <c:min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110756803423254E-2"/>
          <c:y val="0.84747885294179082"/>
          <c:w val="0.86373587415670394"/>
          <c:h val="0.131300987907015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Contribuição de </a:t>
            </a:r>
            <a:r>
              <a:rPr lang="en-US" i="1"/>
              <a:t>T. atlantica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gráficos!$D$66</c:f>
              <c:strCache>
                <c:ptCount val="1"/>
                <c:pt idx="0">
                  <c:v>Psiri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7.49999999999999E-2"/>
                  <c:y val="4.629629629629608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16-43B1-9A01-A1A1AB8B2CB6}"/>
                </c:ext>
              </c:extLst>
            </c:dLbl>
            <c:dLbl>
              <c:idx val="1"/>
              <c:layout>
                <c:manualLayout>
                  <c:x val="0.05"/>
                  <c:y val="-3.7037037037037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16-43B1-9A01-A1A1AB8B2CB6}"/>
                </c:ext>
              </c:extLst>
            </c:dLbl>
            <c:dLbl>
              <c:idx val="2"/>
              <c:layout>
                <c:manualLayout>
                  <c:x val="-0.12499999999999994"/>
                  <c:y val="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16-43B1-9A01-A1A1AB8B2C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gráficos!$C$67:$C$69</c:f>
              <c:strCache>
                <c:ptCount val="3"/>
                <c:pt idx="0">
                  <c:v>Teiu</c:v>
                </c:pt>
                <c:pt idx="1">
                  <c:v>Gato</c:v>
                </c:pt>
                <c:pt idx="2">
                  <c:v>Rato</c:v>
                </c:pt>
              </c:strCache>
            </c:strRef>
          </c:cat>
          <c:val>
            <c:numRef>
              <c:f>gráficos!$D$67:$D$69</c:f>
              <c:numCache>
                <c:formatCode>General</c:formatCode>
                <c:ptCount val="3"/>
                <c:pt idx="0" formatCode="0.00">
                  <c:v>19.55</c:v>
                </c:pt>
                <c:pt idx="1">
                  <c:v>18.78</c:v>
                </c:pt>
                <c:pt idx="2">
                  <c:v>16.66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6-43B1-9A01-A1A1AB8B2C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44324272"/>
        <c:axId val="629479640"/>
      </c:radarChart>
      <c:catAx>
        <c:axId val="54432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79640"/>
        <c:crosses val="autoZero"/>
        <c:auto val="1"/>
        <c:lblAlgn val="ctr"/>
        <c:lblOffset val="100"/>
        <c:noMultiLvlLbl val="0"/>
      </c:catAx>
      <c:valAx>
        <c:axId val="6294796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54432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400049</xdr:colOff>
      <xdr:row>48</xdr:row>
      <xdr:rowOff>47625</xdr:rowOff>
    </xdr:from>
    <xdr:to>
      <xdr:col>7</xdr:col>
      <xdr:colOff>342899</xdr:colOff>
      <xdr:row>62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78D8FC1-12CF-4513-A4A7-5B79DE77D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133350</xdr:colOff>
      <xdr:row>48</xdr:row>
      <xdr:rowOff>47625</xdr:rowOff>
    </xdr:from>
    <xdr:to>
      <xdr:col>13</xdr:col>
      <xdr:colOff>314325</xdr:colOff>
      <xdr:row>62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69EF130-8788-4096-9BF2-93F124B19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619125</xdr:colOff>
      <xdr:row>32</xdr:row>
      <xdr:rowOff>142875</xdr:rowOff>
    </xdr:from>
    <xdr:to>
      <xdr:col>7</xdr:col>
      <xdr:colOff>228600</xdr:colOff>
      <xdr:row>47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4A0E43D-0DC0-49F5-A4A6-4C0E76F64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523875</xdr:colOff>
      <xdr:row>28</xdr:row>
      <xdr:rowOff>180975</xdr:rowOff>
    </xdr:from>
    <xdr:to>
      <xdr:col>15</xdr:col>
      <xdr:colOff>500064</xdr:colOff>
      <xdr:row>47</xdr:row>
      <xdr:rowOff>152400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E73F7DC-AA62-44BD-8FCA-F33A529E3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366712</xdr:colOff>
      <xdr:row>64</xdr:row>
      <xdr:rowOff>47625</xdr:rowOff>
    </xdr:from>
    <xdr:to>
      <xdr:col>11</xdr:col>
      <xdr:colOff>766762</xdr:colOff>
      <xdr:row>78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4C3262-7693-44DF-9BFF-1CDBF3024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77a366434799085/LAATM/Disserta&#231;&#227;o/Psiri_Gato%20(Recuperad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inicial"/>
      <sheetName val="Fezes Gato_Volume"/>
      <sheetName val="Fezes Gato_Abundância"/>
      <sheetName val="Planilha1"/>
      <sheetName val="Gato -sem vegetal-"/>
      <sheetName val="PSIRI Gato"/>
      <sheetName val="gráfic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F1" t="str">
            <v>Mamífero</v>
          </cell>
          <cell r="G1" t="str">
            <v>Réptil</v>
          </cell>
          <cell r="H1" t="str">
            <v>Ave</v>
          </cell>
          <cell r="I1" t="str">
            <v>Peixe</v>
          </cell>
          <cell r="J1" t="str">
            <v>Cephalopoda</v>
          </cell>
          <cell r="K1" t="str">
            <v>Gastropoda</v>
          </cell>
          <cell r="L1" t="str">
            <v>Artropoda</v>
          </cell>
        </row>
        <row r="2">
          <cell r="E2" t="str">
            <v>Mamífero NI</v>
          </cell>
          <cell r="F2">
            <v>3.8</v>
          </cell>
        </row>
        <row r="3">
          <cell r="E3" t="str">
            <v>Roedores NI</v>
          </cell>
          <cell r="F3">
            <v>9.8800000000000008</v>
          </cell>
        </row>
        <row r="4">
          <cell r="E4" t="str">
            <v>Rattus sp</v>
          </cell>
          <cell r="F4">
            <v>10.96</v>
          </cell>
        </row>
        <row r="5">
          <cell r="E5" t="str">
            <v>Kerodon rupestris</v>
          </cell>
          <cell r="F5">
            <v>10.55</v>
          </cell>
        </row>
        <row r="6">
          <cell r="E6" t="str">
            <v>Trachylepis atlantica</v>
          </cell>
          <cell r="G6">
            <v>18.78</v>
          </cell>
        </row>
        <row r="7">
          <cell r="E7" t="str">
            <v>Ave</v>
          </cell>
          <cell r="H7">
            <v>28.54</v>
          </cell>
        </row>
        <row r="8">
          <cell r="E8" t="str">
            <v>Peixe</v>
          </cell>
          <cell r="I8">
            <v>1.94</v>
          </cell>
        </row>
        <row r="9">
          <cell r="E9" t="str">
            <v>Cephalopoda</v>
          </cell>
          <cell r="J9">
            <v>0.09</v>
          </cell>
        </row>
        <row r="10">
          <cell r="E10" t="str">
            <v>Gastropoda</v>
          </cell>
          <cell r="K10">
            <v>0.7</v>
          </cell>
        </row>
        <row r="11">
          <cell r="E11" t="str">
            <v>Caranguejo</v>
          </cell>
          <cell r="L11">
            <v>2.8</v>
          </cell>
        </row>
        <row r="12">
          <cell r="E12" t="str">
            <v>Aranha</v>
          </cell>
          <cell r="L12">
            <v>0.14000000000000001</v>
          </cell>
        </row>
        <row r="13">
          <cell r="E13" t="str">
            <v>Inseto</v>
          </cell>
          <cell r="L13">
            <v>10.56</v>
          </cell>
          <cell r="P13" t="str">
            <v>Roedores</v>
          </cell>
        </row>
        <row r="14">
          <cell r="O14" t="str">
            <v>Roedor NI</v>
          </cell>
          <cell r="P14">
            <v>9.8800000000000008</v>
          </cell>
        </row>
        <row r="15">
          <cell r="F15" t="str">
            <v>Mamífero</v>
          </cell>
          <cell r="G15" t="str">
            <v>Réptil</v>
          </cell>
          <cell r="H15" t="str">
            <v>Ave</v>
          </cell>
          <cell r="I15" t="str">
            <v>Peixe</v>
          </cell>
          <cell r="J15" t="str">
            <v>Cephalopoda</v>
          </cell>
          <cell r="K15" t="str">
            <v>Gastropoda</v>
          </cell>
          <cell r="L15" t="str">
            <v>Artropoda</v>
          </cell>
          <cell r="O15" t="str">
            <v>Rattus</v>
          </cell>
          <cell r="P15">
            <v>10.96</v>
          </cell>
        </row>
        <row r="16">
          <cell r="E16" t="str">
            <v>Mamífero NI</v>
          </cell>
          <cell r="F16">
            <v>3.8</v>
          </cell>
          <cell r="O16" t="str">
            <v>Kerodon</v>
          </cell>
          <cell r="P16">
            <v>10.55</v>
          </cell>
        </row>
        <row r="17">
          <cell r="E17" t="str">
            <v>Roedores</v>
          </cell>
          <cell r="F17">
            <v>31.29</v>
          </cell>
        </row>
        <row r="18">
          <cell r="E18" t="str">
            <v>T. atlantica</v>
          </cell>
          <cell r="G18">
            <v>18.78</v>
          </cell>
        </row>
        <row r="19">
          <cell r="E19" t="str">
            <v>Ave</v>
          </cell>
          <cell r="H19">
            <v>28.54</v>
          </cell>
        </row>
        <row r="20">
          <cell r="E20" t="str">
            <v>Peixe</v>
          </cell>
          <cell r="I20">
            <v>1.94</v>
          </cell>
        </row>
        <row r="21">
          <cell r="E21" t="str">
            <v>Cephalopoda</v>
          </cell>
          <cell r="J21">
            <v>0.09</v>
          </cell>
        </row>
        <row r="22">
          <cell r="E22" t="str">
            <v>Gastropoda</v>
          </cell>
          <cell r="K22">
            <v>0.7</v>
          </cell>
        </row>
        <row r="23">
          <cell r="E23" t="str">
            <v>Artropoda</v>
          </cell>
          <cell r="L23">
            <v>13.5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82"/>
  <sheetViews>
    <sheetView showGridLines="0" zoomScale="60" zoomScaleNormal="60" workbookViewId="0">
      <pane ySplit="1" topLeftCell="A2" activePane="bottomLeft" state="frozen"/>
      <selection pane="bottomLeft" activeCell="G21" sqref="G21"/>
    </sheetView>
  </sheetViews>
  <sheetFormatPr defaultColWidth="9.109375" defaultRowHeight="15.6" x14ac:dyDescent="0.3"/>
  <cols>
    <col min="1" max="1" width="17" style="77" customWidth="1"/>
    <col min="2" max="2" width="8.109375" style="77" customWidth="1"/>
    <col min="3" max="3" width="8.33203125" style="77" customWidth="1"/>
    <col min="4" max="4" width="14.109375" style="77" customWidth="1"/>
    <col min="5" max="5" width="9.6640625" style="77" customWidth="1"/>
    <col min="6" max="6" width="13.5546875" style="77" customWidth="1"/>
    <col min="7" max="7" width="15.33203125" style="77" customWidth="1"/>
    <col min="8" max="8" width="13.5546875" style="77" customWidth="1"/>
    <col min="9" max="9" width="12.5546875" style="77" customWidth="1"/>
    <col min="10" max="10" width="13.5546875" style="77" customWidth="1"/>
    <col min="11" max="11" width="8.6640625" style="77" customWidth="1"/>
    <col min="12" max="12" width="13.5546875" style="77" customWidth="1"/>
    <col min="13" max="13" width="11.109375" style="77" customWidth="1"/>
    <col min="14" max="14" width="12.109375" style="77" customWidth="1"/>
    <col min="15" max="15" width="13.88671875" style="77" customWidth="1"/>
    <col min="16" max="16" width="10.6640625" style="77" customWidth="1"/>
    <col min="17" max="17" width="11.5546875" style="77" customWidth="1"/>
    <col min="18" max="18" width="12.33203125" style="77" customWidth="1"/>
    <col min="19" max="19" width="16.6640625" style="77" customWidth="1"/>
    <col min="20" max="20" width="10.5546875" style="77" customWidth="1"/>
    <col min="21" max="21" width="8.88671875" style="77" customWidth="1"/>
    <col min="22" max="22" width="10.6640625" style="77" customWidth="1"/>
    <col min="23" max="23" width="13" style="77" customWidth="1"/>
    <col min="24" max="24" width="14.33203125" style="77" customWidth="1"/>
    <col min="25" max="25" width="14.6640625" style="77" customWidth="1"/>
    <col min="26" max="26" width="10.6640625" style="77" customWidth="1"/>
    <col min="27" max="27" width="13.44140625" style="77" customWidth="1"/>
    <col min="28" max="28" width="16.88671875" style="77" customWidth="1"/>
    <col min="29" max="29" width="19.88671875" style="77" customWidth="1"/>
    <col min="30" max="30" width="11.44140625" style="77" customWidth="1"/>
    <col min="31" max="31" width="13.33203125" style="77" customWidth="1"/>
    <col min="32" max="32" width="11.44140625" style="77" customWidth="1"/>
    <col min="33" max="33" width="10.5546875" style="77" customWidth="1"/>
    <col min="34" max="34" width="11.44140625" style="77" customWidth="1"/>
    <col min="35" max="35" width="15.44140625" style="77" customWidth="1"/>
    <col min="36" max="36" width="11.88671875" style="77" customWidth="1"/>
    <col min="37" max="37" width="10.44140625" style="77" customWidth="1"/>
    <col min="38" max="38" width="15" style="77" customWidth="1"/>
    <col min="39" max="39" width="12.44140625" style="77" customWidth="1"/>
    <col min="40" max="40" width="15.33203125" style="77" customWidth="1"/>
    <col min="41" max="41" width="12.5546875" style="77" customWidth="1"/>
    <col min="42" max="42" width="16.88671875" style="77" customWidth="1"/>
    <col min="43" max="43" width="14.44140625" style="77" customWidth="1"/>
    <col min="44" max="44" width="22.109375" style="77" customWidth="1"/>
    <col min="45" max="45" width="15.88671875" style="77" customWidth="1"/>
    <col min="46" max="46" width="15" style="77" customWidth="1"/>
    <col min="47" max="47" width="14" style="77" customWidth="1"/>
    <col min="48" max="48" width="12.44140625" style="77" customWidth="1"/>
    <col min="49" max="49" width="12.109375" style="77" customWidth="1"/>
    <col min="50" max="50" width="14" style="77" customWidth="1"/>
    <col min="51" max="51" width="15" style="76" customWidth="1"/>
    <col min="52" max="52" width="13.109375" style="76" customWidth="1"/>
    <col min="53" max="53" width="11.33203125" style="76" customWidth="1"/>
    <col min="54" max="54" width="9.109375" style="76"/>
    <col min="55" max="55" width="13.33203125" style="76" customWidth="1"/>
    <col min="56" max="57" width="9.109375" style="76"/>
    <col min="58" max="58" width="13.33203125" style="76" customWidth="1"/>
    <col min="59" max="59" width="14.33203125" style="76" customWidth="1"/>
    <col min="60" max="60" width="9.109375" style="76"/>
    <col min="61" max="61" width="15.5546875" style="76" customWidth="1"/>
    <col min="62" max="62" width="9.109375" style="76"/>
    <col min="63" max="63" width="15" style="76" customWidth="1"/>
    <col min="64" max="16384" width="9.109375" style="76"/>
  </cols>
  <sheetData>
    <row r="1" spans="1:63" s="71" customFormat="1" x14ac:dyDescent="0.3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5" t="s">
        <v>16</v>
      </c>
      <c r="R1" s="55" t="s">
        <v>17</v>
      </c>
      <c r="S1" s="55" t="s">
        <v>18</v>
      </c>
      <c r="T1" s="55" t="s">
        <v>19</v>
      </c>
      <c r="U1" s="55" t="s">
        <v>20</v>
      </c>
      <c r="V1" s="55" t="s">
        <v>21</v>
      </c>
      <c r="W1" s="55" t="s">
        <v>22</v>
      </c>
      <c r="X1" s="55" t="s">
        <v>23</v>
      </c>
      <c r="Y1" s="55" t="s">
        <v>24</v>
      </c>
      <c r="Z1" s="55" t="s">
        <v>25</v>
      </c>
      <c r="AA1" s="55" t="s">
        <v>26</v>
      </c>
      <c r="AB1" s="55" t="s">
        <v>27</v>
      </c>
      <c r="AC1" s="55" t="s">
        <v>28</v>
      </c>
      <c r="AD1" s="55" t="s">
        <v>29</v>
      </c>
      <c r="AE1" s="55" t="s">
        <v>30</v>
      </c>
      <c r="AF1" s="55" t="s">
        <v>31</v>
      </c>
      <c r="AG1" s="55" t="s">
        <v>32</v>
      </c>
      <c r="AH1" s="55" t="s">
        <v>33</v>
      </c>
      <c r="AI1" s="55" t="s">
        <v>34</v>
      </c>
      <c r="AJ1" s="55" t="s">
        <v>35</v>
      </c>
      <c r="AK1" s="55" t="s">
        <v>36</v>
      </c>
      <c r="AL1" s="55" t="s">
        <v>37</v>
      </c>
      <c r="AM1" s="55" t="s">
        <v>38</v>
      </c>
      <c r="AN1" s="55" t="s">
        <v>39</v>
      </c>
      <c r="AO1" s="55" t="s">
        <v>40</v>
      </c>
      <c r="AP1" s="55" t="s">
        <v>41</v>
      </c>
      <c r="AQ1" s="81" t="s">
        <v>42</v>
      </c>
      <c r="AR1" s="83"/>
      <c r="AS1" s="82" t="s">
        <v>43</v>
      </c>
      <c r="AT1" s="55" t="s">
        <v>44</v>
      </c>
      <c r="AU1" s="55" t="s">
        <v>45</v>
      </c>
      <c r="AV1" s="55" t="s">
        <v>46</v>
      </c>
      <c r="AW1" s="55" t="s">
        <v>47</v>
      </c>
      <c r="AX1" s="55" t="s">
        <v>48</v>
      </c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</row>
    <row r="2" spans="1:63" x14ac:dyDescent="0.3">
      <c r="A2" s="72" t="s">
        <v>49</v>
      </c>
      <c r="B2" s="72" t="s">
        <v>50</v>
      </c>
      <c r="C2" s="72">
        <v>2015</v>
      </c>
      <c r="D2" s="73" t="s">
        <v>51</v>
      </c>
      <c r="E2" s="72">
        <v>3</v>
      </c>
      <c r="F2" s="74"/>
      <c r="G2" s="72"/>
      <c r="H2" s="74">
        <v>3.0659999999999998</v>
      </c>
      <c r="I2" s="72">
        <v>1</v>
      </c>
      <c r="J2" s="74"/>
      <c r="K2" s="72"/>
      <c r="L2" s="74"/>
      <c r="M2" s="72"/>
      <c r="N2" s="74"/>
      <c r="O2" s="72"/>
      <c r="P2" s="74"/>
      <c r="Q2" s="72"/>
      <c r="R2" s="74"/>
      <c r="S2" s="72"/>
      <c r="T2" s="74"/>
      <c r="U2" s="72"/>
      <c r="V2" s="74"/>
      <c r="W2" s="72"/>
      <c r="X2" s="74"/>
      <c r="Y2" s="72"/>
      <c r="Z2" s="74">
        <v>0.223</v>
      </c>
      <c r="AA2" s="72">
        <v>1</v>
      </c>
      <c r="AB2" s="74"/>
      <c r="AC2" s="72"/>
      <c r="AD2" s="74"/>
      <c r="AE2" s="72"/>
      <c r="AF2" s="74"/>
      <c r="AG2" s="72"/>
      <c r="AH2" s="74"/>
      <c r="AI2" s="72"/>
      <c r="AJ2" s="74"/>
      <c r="AK2" s="72"/>
      <c r="AL2" s="74">
        <v>0.02</v>
      </c>
      <c r="AM2" s="72">
        <v>1</v>
      </c>
      <c r="AN2" s="74"/>
      <c r="AO2" s="72"/>
      <c r="AP2" s="74"/>
      <c r="AQ2" s="72"/>
      <c r="AR2" s="75"/>
      <c r="AS2" s="72"/>
      <c r="AT2" s="72"/>
      <c r="AU2" s="72"/>
      <c r="AV2" s="74"/>
      <c r="AW2" s="74"/>
      <c r="AX2" s="74"/>
    </row>
    <row r="3" spans="1:63" x14ac:dyDescent="0.3">
      <c r="A3" s="72" t="s">
        <v>49</v>
      </c>
      <c r="B3" s="72" t="s">
        <v>50</v>
      </c>
      <c r="C3" s="72">
        <v>2015</v>
      </c>
      <c r="D3" s="73" t="s">
        <v>51</v>
      </c>
      <c r="E3" s="72" t="s">
        <v>52</v>
      </c>
      <c r="F3" s="74"/>
      <c r="G3" s="72"/>
      <c r="H3" s="74"/>
      <c r="I3" s="72"/>
      <c r="J3" s="74"/>
      <c r="K3" s="72"/>
      <c r="L3" s="74"/>
      <c r="M3" s="72"/>
      <c r="N3" s="74">
        <v>2.78</v>
      </c>
      <c r="O3" s="72">
        <v>2</v>
      </c>
      <c r="P3" s="74"/>
      <c r="Q3" s="72"/>
      <c r="R3" s="74"/>
      <c r="S3" s="72"/>
      <c r="T3" s="74"/>
      <c r="U3" s="72"/>
      <c r="V3" s="74"/>
      <c r="W3" s="72"/>
      <c r="X3" s="74"/>
      <c r="Y3" s="72"/>
      <c r="Z3" s="74"/>
      <c r="AA3" s="72"/>
      <c r="AB3" s="74"/>
      <c r="AC3" s="72"/>
      <c r="AD3" s="74"/>
      <c r="AE3" s="72"/>
      <c r="AF3" s="74"/>
      <c r="AG3" s="72"/>
      <c r="AH3" s="74">
        <v>2.3E-2</v>
      </c>
      <c r="AI3" s="72">
        <v>1</v>
      </c>
      <c r="AJ3" s="74"/>
      <c r="AK3" s="72"/>
      <c r="AL3" s="74"/>
      <c r="AM3" s="72"/>
      <c r="AN3" s="74"/>
      <c r="AO3" s="72"/>
      <c r="AP3" s="74"/>
      <c r="AQ3" s="72"/>
      <c r="AR3" s="75"/>
      <c r="AS3" s="72"/>
      <c r="AT3" s="72"/>
      <c r="AU3" s="72"/>
      <c r="AV3" s="74"/>
      <c r="AW3" s="74"/>
      <c r="AX3" s="74"/>
    </row>
    <row r="4" spans="1:63" x14ac:dyDescent="0.3">
      <c r="A4" s="72" t="s">
        <v>53</v>
      </c>
      <c r="B4" s="72" t="s">
        <v>50</v>
      </c>
      <c r="C4" s="72">
        <v>2015</v>
      </c>
      <c r="D4" s="73" t="s">
        <v>51</v>
      </c>
      <c r="E4" s="72" t="s">
        <v>54</v>
      </c>
      <c r="F4" s="74"/>
      <c r="G4" s="72"/>
      <c r="H4" s="74"/>
      <c r="I4" s="72"/>
      <c r="J4" s="74">
        <v>1.9379999999999999</v>
      </c>
      <c r="K4" s="72">
        <v>1</v>
      </c>
      <c r="L4" s="74"/>
      <c r="M4" s="72"/>
      <c r="N4" s="74"/>
      <c r="O4" s="72"/>
      <c r="P4" s="74"/>
      <c r="Q4" s="72"/>
      <c r="R4" s="74"/>
      <c r="S4" s="72"/>
      <c r="T4" s="74"/>
      <c r="U4" s="72"/>
      <c r="V4" s="74"/>
      <c r="W4" s="72"/>
      <c r="X4" s="74"/>
      <c r="Y4" s="72"/>
      <c r="Z4" s="74"/>
      <c r="AA4" s="72"/>
      <c r="AB4" s="74"/>
      <c r="AC4" s="72"/>
      <c r="AD4" s="74"/>
      <c r="AE4" s="72"/>
      <c r="AF4" s="74"/>
      <c r="AG4" s="72"/>
      <c r="AH4" s="74"/>
      <c r="AI4" s="72"/>
      <c r="AJ4" s="74"/>
      <c r="AK4" s="72"/>
      <c r="AL4" s="74">
        <v>5.0000000000000001E-3</v>
      </c>
      <c r="AM4" s="72">
        <v>3</v>
      </c>
      <c r="AN4" s="74"/>
      <c r="AO4" s="72"/>
      <c r="AP4" s="74"/>
      <c r="AQ4" s="72"/>
      <c r="AR4" s="75"/>
      <c r="AS4" s="72"/>
      <c r="AT4" s="72"/>
      <c r="AU4" s="72"/>
      <c r="AV4" s="74"/>
      <c r="AW4" s="74"/>
      <c r="AX4" s="74"/>
    </row>
    <row r="5" spans="1:63" x14ac:dyDescent="0.3">
      <c r="A5" s="72" t="s">
        <v>49</v>
      </c>
      <c r="B5" s="72" t="s">
        <v>55</v>
      </c>
      <c r="C5" s="72">
        <v>2015</v>
      </c>
      <c r="D5" s="73" t="s">
        <v>51</v>
      </c>
      <c r="E5" s="72">
        <v>142</v>
      </c>
      <c r="F5" s="74"/>
      <c r="G5" s="72"/>
      <c r="H5" s="74"/>
      <c r="I5" s="72"/>
      <c r="J5" s="74"/>
      <c r="K5" s="72"/>
      <c r="L5" s="74"/>
      <c r="M5" s="72"/>
      <c r="N5" s="74">
        <v>0.14499999999999999</v>
      </c>
      <c r="O5" s="72">
        <v>2</v>
      </c>
      <c r="P5" s="74">
        <v>0.11</v>
      </c>
      <c r="Q5" s="72">
        <v>1</v>
      </c>
      <c r="R5" s="74"/>
      <c r="S5" s="72"/>
      <c r="T5" s="74"/>
      <c r="U5" s="72"/>
      <c r="V5" s="74"/>
      <c r="W5" s="72"/>
      <c r="X5" s="74"/>
      <c r="Y5" s="72"/>
      <c r="Z5" s="74"/>
      <c r="AA5" s="72"/>
      <c r="AB5" s="74">
        <v>9.8000000000000004E-2</v>
      </c>
      <c r="AC5" s="72">
        <v>4</v>
      </c>
      <c r="AD5" s="74"/>
      <c r="AE5" s="72"/>
      <c r="AF5" s="74"/>
      <c r="AG5" s="72"/>
      <c r="AH5" s="74"/>
      <c r="AI5" s="72"/>
      <c r="AJ5" s="74"/>
      <c r="AK5" s="72"/>
      <c r="AL5" s="74"/>
      <c r="AM5" s="72"/>
      <c r="AN5" s="74"/>
      <c r="AO5" s="72"/>
      <c r="AP5" s="74"/>
      <c r="AQ5" s="72"/>
      <c r="AR5" s="75"/>
      <c r="AS5" s="72">
        <v>4</v>
      </c>
      <c r="AT5" s="72"/>
      <c r="AU5" s="72"/>
      <c r="AV5" s="74">
        <v>9.8000000000000004E-2</v>
      </c>
      <c r="AW5" s="74"/>
      <c r="AX5" s="74"/>
    </row>
    <row r="6" spans="1:63" x14ac:dyDescent="0.3">
      <c r="A6" s="72" t="s">
        <v>56</v>
      </c>
      <c r="B6" s="72" t="s">
        <v>57</v>
      </c>
      <c r="C6" s="72">
        <v>2015</v>
      </c>
      <c r="D6" s="73" t="s">
        <v>51</v>
      </c>
      <c r="E6" s="72">
        <v>2</v>
      </c>
      <c r="F6" s="74"/>
      <c r="G6" s="72"/>
      <c r="H6" s="74"/>
      <c r="I6" s="72"/>
      <c r="J6" s="74">
        <v>1.115</v>
      </c>
      <c r="K6" s="72">
        <v>1</v>
      </c>
      <c r="L6" s="74"/>
      <c r="M6" s="72"/>
      <c r="N6" s="74">
        <v>0.57699999999999996</v>
      </c>
      <c r="O6" s="72">
        <v>1</v>
      </c>
      <c r="P6" s="74"/>
      <c r="Q6" s="72"/>
      <c r="R6" s="74"/>
      <c r="S6" s="72"/>
      <c r="T6" s="74"/>
      <c r="U6" s="72"/>
      <c r="V6" s="74"/>
      <c r="W6" s="72"/>
      <c r="X6" s="74"/>
      <c r="Y6" s="72"/>
      <c r="Z6" s="74"/>
      <c r="AA6" s="72"/>
      <c r="AB6" s="74"/>
      <c r="AC6" s="72"/>
      <c r="AD6" s="74"/>
      <c r="AE6" s="72"/>
      <c r="AF6" s="74"/>
      <c r="AG6" s="72"/>
      <c r="AH6" s="74"/>
      <c r="AI6" s="72"/>
      <c r="AJ6" s="74"/>
      <c r="AK6" s="72"/>
      <c r="AL6" s="74">
        <v>8.0000000000000002E-3</v>
      </c>
      <c r="AM6" s="72">
        <v>1</v>
      </c>
      <c r="AN6" s="74"/>
      <c r="AO6" s="72"/>
      <c r="AP6" s="74"/>
      <c r="AQ6" s="72"/>
      <c r="AR6" s="75"/>
      <c r="AS6" s="72"/>
      <c r="AT6" s="72"/>
      <c r="AU6" s="72"/>
      <c r="AV6" s="74"/>
      <c r="AW6" s="74"/>
      <c r="AX6" s="74"/>
    </row>
    <row r="7" spans="1:63" x14ac:dyDescent="0.3">
      <c r="A7" s="72" t="s">
        <v>49</v>
      </c>
      <c r="B7" s="72" t="s">
        <v>55</v>
      </c>
      <c r="C7" s="72">
        <v>2015</v>
      </c>
      <c r="D7" s="73" t="s">
        <v>51</v>
      </c>
      <c r="E7" s="72" t="s">
        <v>58</v>
      </c>
      <c r="F7" s="74"/>
      <c r="G7" s="72"/>
      <c r="H7" s="74"/>
      <c r="I7" s="72"/>
      <c r="J7" s="74"/>
      <c r="K7" s="72"/>
      <c r="L7" s="74"/>
      <c r="M7" s="72"/>
      <c r="N7" s="74">
        <v>1.552</v>
      </c>
      <c r="O7" s="72">
        <v>1</v>
      </c>
      <c r="P7" s="74"/>
      <c r="Q7" s="72"/>
      <c r="R7" s="74"/>
      <c r="S7" s="72"/>
      <c r="T7" s="74"/>
      <c r="U7" s="72"/>
      <c r="V7" s="74"/>
      <c r="W7" s="72"/>
      <c r="X7" s="74"/>
      <c r="Y7" s="72"/>
      <c r="Z7" s="74">
        <v>2.5000000000000001E-2</v>
      </c>
      <c r="AA7" s="72">
        <v>1</v>
      </c>
      <c r="AB7" s="74"/>
      <c r="AC7" s="72"/>
      <c r="AD7" s="74"/>
      <c r="AE7" s="72"/>
      <c r="AF7" s="74"/>
      <c r="AG7" s="72"/>
      <c r="AH7" s="74"/>
      <c r="AI7" s="72"/>
      <c r="AJ7" s="74"/>
      <c r="AK7" s="72"/>
      <c r="AL7" s="74"/>
      <c r="AM7" s="72"/>
      <c r="AN7" s="74"/>
      <c r="AO7" s="72"/>
      <c r="AP7" s="74"/>
      <c r="AQ7" s="72"/>
      <c r="AR7" s="75"/>
      <c r="AS7" s="72"/>
      <c r="AT7" s="72"/>
      <c r="AU7" s="72"/>
      <c r="AV7" s="74"/>
      <c r="AW7" s="74"/>
      <c r="AX7" s="74"/>
    </row>
    <row r="8" spans="1:63" x14ac:dyDescent="0.3">
      <c r="A8" s="72" t="s">
        <v>49</v>
      </c>
      <c r="B8" s="72" t="s">
        <v>55</v>
      </c>
      <c r="C8" s="72">
        <v>2015</v>
      </c>
      <c r="D8" s="73" t="s">
        <v>51</v>
      </c>
      <c r="E8" s="72">
        <v>161</v>
      </c>
      <c r="F8" s="74"/>
      <c r="G8" s="72"/>
      <c r="H8" s="74">
        <v>2.7309999999999999</v>
      </c>
      <c r="I8" s="72">
        <v>1</v>
      </c>
      <c r="J8" s="74"/>
      <c r="K8" s="72"/>
      <c r="L8" s="74"/>
      <c r="M8" s="72"/>
      <c r="N8" s="74">
        <v>0.46500000000000002</v>
      </c>
      <c r="O8" s="72">
        <v>1</v>
      </c>
      <c r="P8" s="74"/>
      <c r="Q8" s="72"/>
      <c r="R8" s="74"/>
      <c r="S8" s="72"/>
      <c r="T8" s="74"/>
      <c r="U8" s="72"/>
      <c r="V8" s="74"/>
      <c r="W8" s="72"/>
      <c r="X8" s="74"/>
      <c r="Y8" s="72"/>
      <c r="Z8" s="74">
        <v>0.02</v>
      </c>
      <c r="AA8" s="72">
        <v>1</v>
      </c>
      <c r="AB8" s="74"/>
      <c r="AC8" s="72"/>
      <c r="AD8" s="74"/>
      <c r="AE8" s="72"/>
      <c r="AF8" s="74"/>
      <c r="AG8" s="72"/>
      <c r="AH8" s="74"/>
      <c r="AI8" s="72"/>
      <c r="AJ8" s="74"/>
      <c r="AK8" s="72"/>
      <c r="AL8" s="74"/>
      <c r="AM8" s="72"/>
      <c r="AN8" s="74"/>
      <c r="AO8" s="72"/>
      <c r="AP8" s="74"/>
      <c r="AQ8" s="72"/>
      <c r="AR8" s="75"/>
      <c r="AS8" s="72"/>
      <c r="AT8" s="72"/>
      <c r="AU8" s="72"/>
      <c r="AV8" s="74"/>
      <c r="AW8" s="74"/>
      <c r="AX8" s="74"/>
    </row>
    <row r="9" spans="1:63" x14ac:dyDescent="0.3">
      <c r="A9" s="72" t="s">
        <v>49</v>
      </c>
      <c r="B9" s="72" t="s">
        <v>59</v>
      </c>
      <c r="C9" s="72">
        <v>2015</v>
      </c>
      <c r="D9" s="73" t="s">
        <v>51</v>
      </c>
      <c r="E9" s="72">
        <v>172</v>
      </c>
      <c r="F9" s="74">
        <v>0.63800000000000001</v>
      </c>
      <c r="G9" s="72">
        <v>1</v>
      </c>
      <c r="H9" s="74"/>
      <c r="I9" s="72"/>
      <c r="J9" s="74"/>
      <c r="K9" s="72"/>
      <c r="L9" s="74"/>
      <c r="M9" s="72"/>
      <c r="N9" s="74">
        <v>0.2</v>
      </c>
      <c r="O9" s="72">
        <v>1</v>
      </c>
      <c r="P9" s="74"/>
      <c r="Q9" s="72"/>
      <c r="R9" s="74">
        <v>0.17499999999999999</v>
      </c>
      <c r="S9" s="72">
        <v>1</v>
      </c>
      <c r="T9" s="74"/>
      <c r="U9" s="72"/>
      <c r="V9" s="74"/>
      <c r="W9" s="72"/>
      <c r="X9" s="74"/>
      <c r="Y9" s="72"/>
      <c r="Z9" s="74"/>
      <c r="AA9" s="72"/>
      <c r="AB9" s="74"/>
      <c r="AC9" s="72"/>
      <c r="AD9" s="74"/>
      <c r="AE9" s="72"/>
      <c r="AF9" s="74"/>
      <c r="AG9" s="72"/>
      <c r="AH9" s="74"/>
      <c r="AI9" s="72"/>
      <c r="AJ9" s="74"/>
      <c r="AK9" s="72"/>
      <c r="AL9" s="74"/>
      <c r="AM9" s="72"/>
      <c r="AN9" s="74"/>
      <c r="AO9" s="72"/>
      <c r="AP9" s="74"/>
      <c r="AQ9" s="72"/>
      <c r="AR9" s="75"/>
      <c r="AS9" s="72"/>
      <c r="AT9" s="72"/>
      <c r="AU9" s="72"/>
      <c r="AV9" s="74"/>
      <c r="AW9" s="74"/>
      <c r="AX9" s="74"/>
    </row>
    <row r="10" spans="1:63" x14ac:dyDescent="0.3">
      <c r="A10" s="72" t="s">
        <v>53</v>
      </c>
      <c r="B10" s="72" t="s">
        <v>59</v>
      </c>
      <c r="C10" s="72">
        <v>2015</v>
      </c>
      <c r="D10" s="73" t="s">
        <v>51</v>
      </c>
      <c r="E10" s="72">
        <v>169</v>
      </c>
      <c r="F10" s="74"/>
      <c r="G10" s="72"/>
      <c r="H10" s="74"/>
      <c r="I10" s="72"/>
      <c r="J10" s="74"/>
      <c r="K10" s="72"/>
      <c r="L10" s="74"/>
      <c r="M10" s="72"/>
      <c r="N10" s="74">
        <v>2.129</v>
      </c>
      <c r="O10" s="72">
        <v>3</v>
      </c>
      <c r="P10" s="74"/>
      <c r="Q10" s="72"/>
      <c r="R10" s="74"/>
      <c r="S10" s="72"/>
      <c r="T10" s="74"/>
      <c r="U10" s="72"/>
      <c r="V10" s="74"/>
      <c r="W10" s="72"/>
      <c r="X10" s="74"/>
      <c r="Y10" s="72"/>
      <c r="Z10" s="74"/>
      <c r="AA10" s="72"/>
      <c r="AB10" s="74">
        <v>0.13</v>
      </c>
      <c r="AC10" s="72">
        <v>4</v>
      </c>
      <c r="AD10" s="74"/>
      <c r="AE10" s="72"/>
      <c r="AF10" s="74"/>
      <c r="AG10" s="72"/>
      <c r="AH10" s="74">
        <v>3.5000000000000003E-2</v>
      </c>
      <c r="AI10" s="72">
        <v>1</v>
      </c>
      <c r="AJ10" s="74"/>
      <c r="AK10" s="72"/>
      <c r="AL10" s="74"/>
      <c r="AM10" s="72"/>
      <c r="AN10" s="74"/>
      <c r="AO10" s="72"/>
      <c r="AP10" s="74"/>
      <c r="AQ10" s="72"/>
      <c r="AR10" s="75"/>
      <c r="AS10" s="72">
        <v>4</v>
      </c>
      <c r="AT10" s="72"/>
      <c r="AU10" s="72"/>
      <c r="AV10" s="74">
        <v>0.13</v>
      </c>
      <c r="AW10" s="74"/>
      <c r="AX10" s="74"/>
    </row>
    <row r="11" spans="1:63" x14ac:dyDescent="0.3">
      <c r="A11" s="72" t="s">
        <v>49</v>
      </c>
      <c r="B11" s="72" t="s">
        <v>55</v>
      </c>
      <c r="C11" s="72">
        <v>2015</v>
      </c>
      <c r="D11" s="73" t="s">
        <v>51</v>
      </c>
      <c r="E11" s="72" t="s">
        <v>60</v>
      </c>
      <c r="F11" s="74"/>
      <c r="G11" s="72"/>
      <c r="H11" s="74"/>
      <c r="I11" s="72"/>
      <c r="J11" s="74"/>
      <c r="K11" s="72"/>
      <c r="L11" s="74"/>
      <c r="M11" s="72"/>
      <c r="N11" s="74">
        <v>0.95</v>
      </c>
      <c r="O11" s="72">
        <v>1</v>
      </c>
      <c r="P11" s="74">
        <v>2.5449999999999999</v>
      </c>
      <c r="Q11" s="72">
        <v>1</v>
      </c>
      <c r="R11" s="74"/>
      <c r="S11" s="72"/>
      <c r="T11" s="74"/>
      <c r="U11" s="72"/>
      <c r="V11" s="74"/>
      <c r="W11" s="72"/>
      <c r="X11" s="74"/>
      <c r="Y11" s="72"/>
      <c r="Z11" s="74">
        <v>0.3</v>
      </c>
      <c r="AA11" s="72">
        <v>1</v>
      </c>
      <c r="AB11" s="74"/>
      <c r="AC11" s="72"/>
      <c r="AD11" s="74"/>
      <c r="AE11" s="72"/>
      <c r="AF11" s="74"/>
      <c r="AG11" s="72"/>
      <c r="AH11" s="74"/>
      <c r="AI11" s="72"/>
      <c r="AJ11" s="74"/>
      <c r="AK11" s="72"/>
      <c r="AL11" s="74"/>
      <c r="AM11" s="72"/>
      <c r="AN11" s="74"/>
      <c r="AO11" s="72"/>
      <c r="AP11" s="74"/>
      <c r="AQ11" s="72"/>
      <c r="AR11" s="75"/>
      <c r="AS11" s="72"/>
      <c r="AT11" s="72"/>
      <c r="AU11" s="72"/>
      <c r="AV11" s="74"/>
      <c r="AW11" s="74"/>
      <c r="AX11" s="74"/>
    </row>
    <row r="12" spans="1:63" x14ac:dyDescent="0.3">
      <c r="A12" s="72" t="s">
        <v>49</v>
      </c>
      <c r="B12" s="72" t="s">
        <v>59</v>
      </c>
      <c r="C12" s="72">
        <v>2015</v>
      </c>
      <c r="D12" s="73" t="s">
        <v>51</v>
      </c>
      <c r="E12" s="72">
        <v>173</v>
      </c>
      <c r="F12" s="74"/>
      <c r="G12" s="72"/>
      <c r="H12" s="74"/>
      <c r="I12" s="72"/>
      <c r="J12" s="74"/>
      <c r="K12" s="72"/>
      <c r="L12" s="74"/>
      <c r="M12" s="72"/>
      <c r="N12" s="74"/>
      <c r="O12" s="72"/>
      <c r="P12" s="74">
        <v>4.17</v>
      </c>
      <c r="Q12" s="72">
        <v>1</v>
      </c>
      <c r="R12" s="74"/>
      <c r="S12" s="72"/>
      <c r="T12" s="74"/>
      <c r="U12" s="72"/>
      <c r="V12" s="74"/>
      <c r="W12" s="72"/>
      <c r="X12" s="74"/>
      <c r="Y12" s="72"/>
      <c r="Z12" s="74">
        <v>1.7999999999999999E-2</v>
      </c>
      <c r="AA12" s="72">
        <v>1</v>
      </c>
      <c r="AB12" s="74"/>
      <c r="AC12" s="72"/>
      <c r="AD12" s="74"/>
      <c r="AE12" s="72"/>
      <c r="AF12" s="74"/>
      <c r="AG12" s="72"/>
      <c r="AH12" s="74"/>
      <c r="AI12" s="72"/>
      <c r="AJ12" s="74"/>
      <c r="AK12" s="72"/>
      <c r="AL12" s="74"/>
      <c r="AM12" s="72"/>
      <c r="AN12" s="74"/>
      <c r="AO12" s="72"/>
      <c r="AP12" s="74"/>
      <c r="AQ12" s="72"/>
      <c r="AR12" s="75"/>
      <c r="AS12" s="72"/>
      <c r="AT12" s="72"/>
      <c r="AU12" s="72"/>
      <c r="AV12" s="74"/>
      <c r="AW12" s="74"/>
      <c r="AX12" s="74"/>
    </row>
    <row r="13" spans="1:63" x14ac:dyDescent="0.3">
      <c r="A13" s="72" t="s">
        <v>49</v>
      </c>
      <c r="B13" s="72" t="s">
        <v>61</v>
      </c>
      <c r="C13" s="72">
        <v>2015</v>
      </c>
      <c r="D13" s="73" t="s">
        <v>51</v>
      </c>
      <c r="E13" s="72">
        <v>251</v>
      </c>
      <c r="F13" s="74"/>
      <c r="G13" s="72"/>
      <c r="H13" s="74"/>
      <c r="I13" s="72"/>
      <c r="J13" s="74">
        <v>0.72399999999999998</v>
      </c>
      <c r="K13" s="72">
        <v>1</v>
      </c>
      <c r="L13" s="74">
        <v>4.6500000000000004</v>
      </c>
      <c r="M13" s="72">
        <v>1</v>
      </c>
      <c r="N13" s="74">
        <v>0.22600000000000001</v>
      </c>
      <c r="O13" s="72">
        <v>1</v>
      </c>
      <c r="P13" s="74"/>
      <c r="Q13" s="72"/>
      <c r="R13" s="74"/>
      <c r="S13" s="72"/>
      <c r="T13" s="74"/>
      <c r="U13" s="72"/>
      <c r="V13" s="74">
        <v>8.9999999999999993E-3</v>
      </c>
      <c r="W13" s="72">
        <v>1</v>
      </c>
      <c r="X13" s="74"/>
      <c r="Y13" s="72"/>
      <c r="Z13" s="74"/>
      <c r="AA13" s="72"/>
      <c r="AB13" s="74"/>
      <c r="AC13" s="72"/>
      <c r="AD13" s="74">
        <v>0.19800000000000001</v>
      </c>
      <c r="AE13" s="72">
        <v>1</v>
      </c>
      <c r="AF13" s="74"/>
      <c r="AG13" s="72"/>
      <c r="AH13" s="74"/>
      <c r="AI13" s="72"/>
      <c r="AJ13" s="74"/>
      <c r="AK13" s="72"/>
      <c r="AL13" s="74">
        <v>7.0000000000000001E-3</v>
      </c>
      <c r="AM13" s="72">
        <v>3</v>
      </c>
      <c r="AN13" s="74"/>
      <c r="AO13" s="72"/>
      <c r="AP13" s="74"/>
      <c r="AQ13" s="72"/>
      <c r="AR13" s="75"/>
      <c r="AS13" s="72"/>
      <c r="AT13" s="72"/>
      <c r="AU13" s="72"/>
      <c r="AV13" s="74"/>
      <c r="AW13" s="74"/>
      <c r="AX13" s="74"/>
    </row>
    <row r="14" spans="1:63" x14ac:dyDescent="0.3">
      <c r="A14" s="72" t="s">
        <v>49</v>
      </c>
      <c r="B14" s="72" t="s">
        <v>50</v>
      </c>
      <c r="C14" s="72">
        <v>2015</v>
      </c>
      <c r="D14" s="73" t="s">
        <v>51</v>
      </c>
      <c r="E14" s="72">
        <v>4</v>
      </c>
      <c r="F14" s="74"/>
      <c r="G14" s="72"/>
      <c r="H14" s="74"/>
      <c r="I14" s="72"/>
      <c r="J14" s="74">
        <v>0.72</v>
      </c>
      <c r="K14" s="72">
        <v>1</v>
      </c>
      <c r="L14" s="74">
        <v>2.1</v>
      </c>
      <c r="M14" s="72">
        <v>1</v>
      </c>
      <c r="N14" s="74"/>
      <c r="O14" s="72"/>
      <c r="P14" s="74">
        <v>1.6819999999999999</v>
      </c>
      <c r="Q14" s="72">
        <v>1</v>
      </c>
      <c r="R14" s="74"/>
      <c r="S14" s="72"/>
      <c r="T14" s="74"/>
      <c r="U14" s="72"/>
      <c r="V14" s="74"/>
      <c r="W14" s="72"/>
      <c r="X14" s="74">
        <v>0.2</v>
      </c>
      <c r="Y14" s="72">
        <v>4</v>
      </c>
      <c r="Z14" s="74"/>
      <c r="AA14" s="72"/>
      <c r="AB14" s="74"/>
      <c r="AC14" s="72"/>
      <c r="AD14" s="74">
        <v>0.67</v>
      </c>
      <c r="AE14" s="72">
        <v>1</v>
      </c>
      <c r="AF14" s="74"/>
      <c r="AG14" s="72"/>
      <c r="AH14" s="74"/>
      <c r="AI14" s="72"/>
      <c r="AJ14" s="74"/>
      <c r="AK14" s="72"/>
      <c r="AL14" s="74"/>
      <c r="AM14" s="72"/>
      <c r="AN14" s="74"/>
      <c r="AO14" s="72"/>
      <c r="AP14" s="74"/>
      <c r="AQ14" s="72"/>
      <c r="AR14" s="75"/>
      <c r="AS14" s="72"/>
      <c r="AT14" s="72"/>
      <c r="AU14" s="72"/>
      <c r="AV14" s="74"/>
      <c r="AW14" s="74"/>
      <c r="AX14" s="74"/>
    </row>
    <row r="15" spans="1:63" x14ac:dyDescent="0.3">
      <c r="A15" s="72" t="s">
        <v>49</v>
      </c>
      <c r="B15" s="72" t="s">
        <v>62</v>
      </c>
      <c r="C15" s="72">
        <v>2015</v>
      </c>
      <c r="D15" s="73" t="s">
        <v>51</v>
      </c>
      <c r="E15" s="72">
        <v>232</v>
      </c>
      <c r="F15" s="74"/>
      <c r="G15" s="72"/>
      <c r="H15" s="74">
        <v>2.2999999999999998</v>
      </c>
      <c r="I15" s="72">
        <v>1</v>
      </c>
      <c r="J15" s="74"/>
      <c r="K15" s="72"/>
      <c r="L15" s="74"/>
      <c r="M15" s="72"/>
      <c r="N15" s="74"/>
      <c r="O15" s="72"/>
      <c r="P15" s="74"/>
      <c r="Q15" s="72"/>
      <c r="R15" s="74"/>
      <c r="S15" s="72"/>
      <c r="T15" s="74"/>
      <c r="U15" s="72"/>
      <c r="V15" s="74"/>
      <c r="W15" s="72"/>
      <c r="X15" s="74"/>
      <c r="Y15" s="72"/>
      <c r="Z15" s="74">
        <v>0.01</v>
      </c>
      <c r="AA15" s="72">
        <v>2</v>
      </c>
      <c r="AB15" s="74"/>
      <c r="AC15" s="72"/>
      <c r="AD15" s="74"/>
      <c r="AE15" s="72"/>
      <c r="AF15" s="74"/>
      <c r="AG15" s="72"/>
      <c r="AH15" s="74"/>
      <c r="AI15" s="72"/>
      <c r="AJ15" s="74">
        <v>0.20699999999999999</v>
      </c>
      <c r="AK15" s="72">
        <v>3</v>
      </c>
      <c r="AL15" s="74"/>
      <c r="AM15" s="72"/>
      <c r="AN15" s="74"/>
      <c r="AO15" s="72"/>
      <c r="AP15" s="74"/>
      <c r="AQ15" s="72"/>
      <c r="AR15" s="75"/>
      <c r="AS15" s="72"/>
      <c r="AT15" s="72"/>
      <c r="AU15" s="72"/>
      <c r="AV15" s="74"/>
      <c r="AW15" s="74"/>
      <c r="AX15" s="74"/>
    </row>
    <row r="16" spans="1:63" x14ac:dyDescent="0.3">
      <c r="A16" s="72" t="s">
        <v>49</v>
      </c>
      <c r="B16" s="72" t="s">
        <v>62</v>
      </c>
      <c r="C16" s="72">
        <v>2015</v>
      </c>
      <c r="D16" s="73" t="s">
        <v>51</v>
      </c>
      <c r="E16" s="72">
        <v>242</v>
      </c>
      <c r="F16" s="74"/>
      <c r="G16" s="72"/>
      <c r="H16" s="74">
        <v>3.5249999999999999</v>
      </c>
      <c r="I16" s="72">
        <v>1</v>
      </c>
      <c r="J16" s="74"/>
      <c r="K16" s="72"/>
      <c r="L16" s="74"/>
      <c r="M16" s="72"/>
      <c r="N16" s="74">
        <v>0.4</v>
      </c>
      <c r="O16" s="72">
        <v>1</v>
      </c>
      <c r="P16" s="74"/>
      <c r="Q16" s="72"/>
      <c r="R16" s="74"/>
      <c r="S16" s="72"/>
      <c r="T16" s="74"/>
      <c r="U16" s="72"/>
      <c r="V16" s="74"/>
      <c r="W16" s="72"/>
      <c r="X16" s="74"/>
      <c r="Y16" s="72"/>
      <c r="Z16" s="74">
        <v>0.01</v>
      </c>
      <c r="AA16" s="72">
        <v>1</v>
      </c>
      <c r="AB16" s="74"/>
      <c r="AC16" s="72"/>
      <c r="AD16" s="74"/>
      <c r="AE16" s="72"/>
      <c r="AF16" s="74"/>
      <c r="AG16" s="72"/>
      <c r="AH16" s="74"/>
      <c r="AI16" s="72"/>
      <c r="AJ16" s="74"/>
      <c r="AK16" s="72"/>
      <c r="AL16" s="74"/>
      <c r="AM16" s="72"/>
      <c r="AN16" s="74"/>
      <c r="AO16" s="72"/>
      <c r="AP16" s="74"/>
      <c r="AQ16" s="72"/>
      <c r="AR16" s="75"/>
      <c r="AS16" s="72"/>
      <c r="AT16" s="72"/>
      <c r="AU16" s="72"/>
      <c r="AV16" s="74"/>
      <c r="AW16" s="74"/>
      <c r="AX16" s="74"/>
    </row>
    <row r="17" spans="1:50" x14ac:dyDescent="0.3">
      <c r="A17" s="72" t="s">
        <v>49</v>
      </c>
      <c r="B17" s="72" t="s">
        <v>62</v>
      </c>
      <c r="C17" s="72">
        <v>2015</v>
      </c>
      <c r="D17" s="73" t="s">
        <v>51</v>
      </c>
      <c r="E17" s="72">
        <v>234</v>
      </c>
      <c r="F17" s="74"/>
      <c r="G17" s="72"/>
      <c r="H17" s="74"/>
      <c r="I17" s="72"/>
      <c r="J17" s="74"/>
      <c r="K17" s="72"/>
      <c r="L17" s="74"/>
      <c r="M17" s="72"/>
      <c r="N17" s="74"/>
      <c r="O17" s="72"/>
      <c r="P17" s="74">
        <v>0.16</v>
      </c>
      <c r="Q17" s="72">
        <v>1</v>
      </c>
      <c r="R17" s="74"/>
      <c r="S17" s="72"/>
      <c r="T17" s="74"/>
      <c r="U17" s="72"/>
      <c r="V17" s="74"/>
      <c r="W17" s="72"/>
      <c r="X17" s="74"/>
      <c r="Y17" s="72"/>
      <c r="Z17" s="74"/>
      <c r="AA17" s="72"/>
      <c r="AB17" s="74">
        <v>3.0000000000000001E-3</v>
      </c>
      <c r="AC17" s="72">
        <v>3</v>
      </c>
      <c r="AD17" s="74"/>
      <c r="AE17" s="72"/>
      <c r="AF17" s="74"/>
      <c r="AG17" s="72"/>
      <c r="AH17" s="74"/>
      <c r="AI17" s="72"/>
      <c r="AJ17" s="74"/>
      <c r="AK17" s="72"/>
      <c r="AL17" s="74"/>
      <c r="AM17" s="72"/>
      <c r="AN17" s="74"/>
      <c r="AO17" s="72"/>
      <c r="AP17" s="74"/>
      <c r="AQ17" s="72"/>
      <c r="AR17" s="75"/>
      <c r="AS17" s="72"/>
      <c r="AT17" s="72">
        <v>3</v>
      </c>
      <c r="AU17" s="72"/>
      <c r="AV17" s="74"/>
      <c r="AW17" s="74">
        <v>3.0000000000000001E-3</v>
      </c>
      <c r="AX17" s="74"/>
    </row>
    <row r="18" spans="1:50" x14ac:dyDescent="0.3">
      <c r="A18" s="72" t="s">
        <v>49</v>
      </c>
      <c r="B18" s="72" t="s">
        <v>63</v>
      </c>
      <c r="C18" s="72">
        <v>2015</v>
      </c>
      <c r="D18" s="73" t="s">
        <v>51</v>
      </c>
      <c r="E18" s="72">
        <v>218</v>
      </c>
      <c r="F18" s="74"/>
      <c r="G18" s="72"/>
      <c r="H18" s="74"/>
      <c r="I18" s="72"/>
      <c r="J18" s="74"/>
      <c r="K18" s="72"/>
      <c r="L18" s="74"/>
      <c r="M18" s="72"/>
      <c r="N18" s="74">
        <v>2.1999999999999999E-2</v>
      </c>
      <c r="O18" s="72">
        <v>1</v>
      </c>
      <c r="P18" s="74">
        <v>0.24</v>
      </c>
      <c r="Q18" s="72">
        <v>1</v>
      </c>
      <c r="R18" s="74"/>
      <c r="S18" s="72"/>
      <c r="T18" s="74"/>
      <c r="U18" s="72"/>
      <c r="V18" s="74"/>
      <c r="W18" s="72"/>
      <c r="X18" s="74"/>
      <c r="Y18" s="72"/>
      <c r="Z18" s="74"/>
      <c r="AA18" s="72"/>
      <c r="AB18" s="74"/>
      <c r="AC18" s="72"/>
      <c r="AD18" s="74"/>
      <c r="AE18" s="72"/>
      <c r="AF18" s="74"/>
      <c r="AG18" s="72"/>
      <c r="AH18" s="74"/>
      <c r="AI18" s="72"/>
      <c r="AJ18" s="74"/>
      <c r="AK18" s="72"/>
      <c r="AL18" s="74"/>
      <c r="AM18" s="72"/>
      <c r="AN18" s="74"/>
      <c r="AO18" s="72"/>
      <c r="AP18" s="74"/>
      <c r="AQ18" s="72"/>
      <c r="AR18" s="75"/>
      <c r="AS18" s="72"/>
      <c r="AT18" s="72"/>
      <c r="AU18" s="72"/>
      <c r="AV18" s="74"/>
      <c r="AW18" s="74"/>
      <c r="AX18" s="74"/>
    </row>
    <row r="19" spans="1:50" x14ac:dyDescent="0.3">
      <c r="A19" s="72" t="s">
        <v>49</v>
      </c>
      <c r="B19" s="72" t="s">
        <v>62</v>
      </c>
      <c r="C19" s="72">
        <v>2015</v>
      </c>
      <c r="D19" s="73" t="s">
        <v>51</v>
      </c>
      <c r="E19" s="72">
        <v>229</v>
      </c>
      <c r="F19" s="74"/>
      <c r="G19" s="72"/>
      <c r="H19" s="74"/>
      <c r="I19" s="72"/>
      <c r="J19" s="74"/>
      <c r="K19" s="72"/>
      <c r="L19" s="74"/>
      <c r="M19" s="72"/>
      <c r="N19" s="74"/>
      <c r="O19" s="72"/>
      <c r="P19" s="74">
        <v>3.73</v>
      </c>
      <c r="Q19" s="72">
        <v>1</v>
      </c>
      <c r="R19" s="74"/>
      <c r="S19" s="72"/>
      <c r="T19" s="74"/>
      <c r="U19" s="72"/>
      <c r="V19" s="74"/>
      <c r="W19" s="72"/>
      <c r="X19" s="74"/>
      <c r="Y19" s="72"/>
      <c r="Z19" s="74"/>
      <c r="AA19" s="72"/>
      <c r="AB19" s="74"/>
      <c r="AC19" s="72"/>
      <c r="AD19" s="74"/>
      <c r="AE19" s="72"/>
      <c r="AF19" s="74"/>
      <c r="AG19" s="72"/>
      <c r="AH19" s="74"/>
      <c r="AI19" s="72"/>
      <c r="AJ19" s="74"/>
      <c r="AK19" s="72"/>
      <c r="AL19" s="74"/>
      <c r="AM19" s="72"/>
      <c r="AN19" s="74"/>
      <c r="AO19" s="72"/>
      <c r="AP19" s="74"/>
      <c r="AQ19" s="72"/>
      <c r="AR19" s="75"/>
      <c r="AS19" s="72"/>
      <c r="AT19" s="72"/>
      <c r="AU19" s="72"/>
      <c r="AV19" s="74"/>
      <c r="AW19" s="74"/>
      <c r="AX19" s="74"/>
    </row>
    <row r="20" spans="1:50" x14ac:dyDescent="0.3">
      <c r="A20" s="72" t="s">
        <v>49</v>
      </c>
      <c r="B20" s="72" t="s">
        <v>61</v>
      </c>
      <c r="C20" s="72">
        <v>2015</v>
      </c>
      <c r="D20" s="73" t="s">
        <v>51</v>
      </c>
      <c r="E20" s="72">
        <v>246</v>
      </c>
      <c r="F20" s="74">
        <v>2.9249999999999998</v>
      </c>
      <c r="G20" s="72">
        <v>1</v>
      </c>
      <c r="H20" s="74"/>
      <c r="I20" s="72"/>
      <c r="J20" s="74"/>
      <c r="K20" s="72"/>
      <c r="L20" s="74"/>
      <c r="M20" s="72"/>
      <c r="N20" s="74">
        <v>2.1</v>
      </c>
      <c r="O20" s="72">
        <v>3</v>
      </c>
      <c r="P20" s="74"/>
      <c r="Q20" s="72"/>
      <c r="R20" s="74">
        <v>0.10299999999999999</v>
      </c>
      <c r="S20" s="72">
        <v>1</v>
      </c>
      <c r="T20" s="74"/>
      <c r="U20" s="72"/>
      <c r="V20" s="74"/>
      <c r="W20" s="72"/>
      <c r="X20" s="74"/>
      <c r="Y20" s="72"/>
      <c r="Z20" s="74">
        <v>0.1</v>
      </c>
      <c r="AA20" s="72">
        <v>1</v>
      </c>
      <c r="AB20" s="74"/>
      <c r="AC20" s="72"/>
      <c r="AD20" s="74"/>
      <c r="AE20" s="72"/>
      <c r="AF20" s="74"/>
      <c r="AG20" s="72"/>
      <c r="AH20" s="74"/>
      <c r="AI20" s="72"/>
      <c r="AJ20" s="74"/>
      <c r="AK20" s="72"/>
      <c r="AL20" s="74">
        <v>0.1</v>
      </c>
      <c r="AM20" s="72">
        <v>23</v>
      </c>
      <c r="AN20" s="74"/>
      <c r="AO20" s="72"/>
      <c r="AP20" s="74"/>
      <c r="AQ20" s="72"/>
      <c r="AR20" s="75"/>
      <c r="AS20" s="72"/>
      <c r="AT20" s="72"/>
      <c r="AU20" s="72"/>
      <c r="AV20" s="74"/>
      <c r="AW20" s="74"/>
      <c r="AX20" s="74"/>
    </row>
    <row r="21" spans="1:50" x14ac:dyDescent="0.3">
      <c r="A21" s="72" t="s">
        <v>49</v>
      </c>
      <c r="B21" s="72" t="s">
        <v>61</v>
      </c>
      <c r="C21" s="72">
        <v>2015</v>
      </c>
      <c r="D21" s="73" t="s">
        <v>51</v>
      </c>
      <c r="E21" s="72">
        <v>253</v>
      </c>
      <c r="F21" s="74"/>
      <c r="G21" s="72"/>
      <c r="H21" s="74"/>
      <c r="I21" s="72"/>
      <c r="J21" s="74">
        <v>1.5680000000000001</v>
      </c>
      <c r="K21" s="72">
        <v>1</v>
      </c>
      <c r="L21" s="74"/>
      <c r="M21" s="72"/>
      <c r="N21" s="74">
        <v>0.5</v>
      </c>
      <c r="O21" s="72">
        <v>1</v>
      </c>
      <c r="P21" s="74">
        <v>0.13</v>
      </c>
      <c r="Q21" s="72">
        <v>1</v>
      </c>
      <c r="R21" s="74"/>
      <c r="S21" s="72"/>
      <c r="T21" s="74"/>
      <c r="U21" s="72"/>
      <c r="V21" s="74"/>
      <c r="W21" s="72"/>
      <c r="X21" s="74"/>
      <c r="Y21" s="72"/>
      <c r="Z21" s="74">
        <v>2.5000000000000001E-2</v>
      </c>
      <c r="AA21" s="72">
        <v>1</v>
      </c>
      <c r="AB21" s="74"/>
      <c r="AC21" s="72"/>
      <c r="AD21" s="74"/>
      <c r="AE21" s="72"/>
      <c r="AF21" s="74"/>
      <c r="AG21" s="72"/>
      <c r="AH21" s="74"/>
      <c r="AI21" s="72"/>
      <c r="AJ21" s="74"/>
      <c r="AK21" s="72"/>
      <c r="AL21" s="74">
        <v>4.0000000000000001E-3</v>
      </c>
      <c r="AM21" s="72">
        <v>2</v>
      </c>
      <c r="AN21" s="74"/>
      <c r="AO21" s="72"/>
      <c r="AP21" s="74"/>
      <c r="AQ21" s="72"/>
      <c r="AR21" s="75"/>
      <c r="AS21" s="72"/>
      <c r="AT21" s="72"/>
      <c r="AU21" s="72"/>
      <c r="AV21" s="74"/>
      <c r="AW21" s="74"/>
      <c r="AX21" s="74"/>
    </row>
    <row r="22" spans="1:50" x14ac:dyDescent="0.3">
      <c r="A22" s="72" t="s">
        <v>49</v>
      </c>
      <c r="B22" s="72" t="s">
        <v>62</v>
      </c>
      <c r="C22" s="72">
        <v>2015</v>
      </c>
      <c r="D22" s="73" t="s">
        <v>51</v>
      </c>
      <c r="E22" s="72">
        <v>243</v>
      </c>
      <c r="F22" s="74"/>
      <c r="G22" s="72"/>
      <c r="H22" s="74"/>
      <c r="I22" s="72"/>
      <c r="J22" s="74"/>
      <c r="K22" s="72"/>
      <c r="L22" s="74"/>
      <c r="M22" s="72"/>
      <c r="N22" s="74">
        <v>0.1</v>
      </c>
      <c r="O22" s="72">
        <v>1</v>
      </c>
      <c r="P22" s="74">
        <v>2.2999999999999998</v>
      </c>
      <c r="Q22" s="72">
        <v>1</v>
      </c>
      <c r="R22" s="74"/>
      <c r="S22" s="72"/>
      <c r="T22" s="74"/>
      <c r="U22" s="72"/>
      <c r="V22" s="74"/>
      <c r="W22" s="72"/>
      <c r="X22" s="74"/>
      <c r="Y22" s="72"/>
      <c r="Z22" s="74"/>
      <c r="AA22" s="72"/>
      <c r="AB22" s="74">
        <v>0.15</v>
      </c>
      <c r="AC22" s="72">
        <v>29</v>
      </c>
      <c r="AD22" s="74"/>
      <c r="AE22" s="72"/>
      <c r="AF22" s="74"/>
      <c r="AG22" s="72"/>
      <c r="AH22" s="74"/>
      <c r="AI22" s="72"/>
      <c r="AJ22" s="74"/>
      <c r="AK22" s="72"/>
      <c r="AL22" s="74"/>
      <c r="AM22" s="72"/>
      <c r="AN22" s="74"/>
      <c r="AO22" s="72"/>
      <c r="AP22" s="74"/>
      <c r="AQ22" s="72"/>
      <c r="AR22" s="75"/>
      <c r="AS22" s="72">
        <v>29</v>
      </c>
      <c r="AT22" s="72"/>
      <c r="AU22" s="72"/>
      <c r="AV22" s="74">
        <v>0.15</v>
      </c>
      <c r="AW22" s="74"/>
      <c r="AX22" s="74"/>
    </row>
    <row r="23" spans="1:50" x14ac:dyDescent="0.3">
      <c r="A23" s="72" t="s">
        <v>49</v>
      </c>
      <c r="B23" s="72" t="s">
        <v>62</v>
      </c>
      <c r="C23" s="72">
        <v>2015</v>
      </c>
      <c r="D23" s="73" t="s">
        <v>51</v>
      </c>
      <c r="E23" s="72">
        <v>239</v>
      </c>
      <c r="F23" s="74"/>
      <c r="G23" s="72"/>
      <c r="H23" s="74"/>
      <c r="I23" s="72"/>
      <c r="J23" s="74">
        <v>3.8250000000000002</v>
      </c>
      <c r="K23" s="72">
        <v>1</v>
      </c>
      <c r="L23" s="74"/>
      <c r="M23" s="72"/>
      <c r="N23" s="74">
        <v>0.03</v>
      </c>
      <c r="O23" s="72">
        <v>1</v>
      </c>
      <c r="P23" s="74"/>
      <c r="Q23" s="72"/>
      <c r="R23" s="74"/>
      <c r="S23" s="72"/>
      <c r="T23" s="74"/>
      <c r="U23" s="72"/>
      <c r="V23" s="74"/>
      <c r="W23" s="72"/>
      <c r="X23" s="74"/>
      <c r="Y23" s="72"/>
      <c r="Z23" s="74"/>
      <c r="AA23" s="72"/>
      <c r="AB23" s="74"/>
      <c r="AC23" s="72"/>
      <c r="AD23" s="74">
        <v>0.75</v>
      </c>
      <c r="AE23" s="72">
        <v>2</v>
      </c>
      <c r="AF23" s="74"/>
      <c r="AG23" s="72"/>
      <c r="AH23" s="74"/>
      <c r="AI23" s="72"/>
      <c r="AJ23" s="74"/>
      <c r="AK23" s="72"/>
      <c r="AL23" s="74">
        <v>5.0000000000000001E-3</v>
      </c>
      <c r="AM23" s="72">
        <v>1</v>
      </c>
      <c r="AN23" s="74"/>
      <c r="AO23" s="72"/>
      <c r="AP23" s="74"/>
      <c r="AQ23" s="72"/>
      <c r="AR23" s="75"/>
      <c r="AS23" s="72"/>
      <c r="AT23" s="72"/>
      <c r="AU23" s="72"/>
      <c r="AV23" s="74"/>
      <c r="AW23" s="74"/>
      <c r="AX23" s="74"/>
    </row>
    <row r="24" spans="1:50" x14ac:dyDescent="0.3">
      <c r="A24" s="72" t="s">
        <v>49</v>
      </c>
      <c r="B24" s="72" t="s">
        <v>63</v>
      </c>
      <c r="C24" s="72">
        <v>2015</v>
      </c>
      <c r="D24" s="73" t="s">
        <v>51</v>
      </c>
      <c r="E24" s="72">
        <v>227</v>
      </c>
      <c r="F24" s="74"/>
      <c r="G24" s="72"/>
      <c r="H24" s="74"/>
      <c r="I24" s="72"/>
      <c r="J24" s="74"/>
      <c r="K24" s="72"/>
      <c r="L24" s="74">
        <v>0.7</v>
      </c>
      <c r="M24" s="72">
        <v>1</v>
      </c>
      <c r="N24" s="74">
        <v>2.5000000000000001E-2</v>
      </c>
      <c r="O24" s="72">
        <v>1</v>
      </c>
      <c r="P24" s="74">
        <v>0.75</v>
      </c>
      <c r="Q24" s="72">
        <v>1</v>
      </c>
      <c r="R24" s="74"/>
      <c r="S24" s="72"/>
      <c r="T24" s="74"/>
      <c r="U24" s="72"/>
      <c r="V24" s="74"/>
      <c r="W24" s="72"/>
      <c r="X24" s="74"/>
      <c r="Y24" s="72"/>
      <c r="Z24" s="74"/>
      <c r="AA24" s="72"/>
      <c r="AB24" s="74">
        <v>7.0000000000000001E-3</v>
      </c>
      <c r="AC24" s="72">
        <v>1</v>
      </c>
      <c r="AD24" s="74"/>
      <c r="AE24" s="72"/>
      <c r="AF24" s="74"/>
      <c r="AG24" s="72"/>
      <c r="AH24" s="74"/>
      <c r="AI24" s="72"/>
      <c r="AJ24" s="74"/>
      <c r="AK24" s="72"/>
      <c r="AL24" s="74"/>
      <c r="AM24" s="72"/>
      <c r="AN24" s="74"/>
      <c r="AO24" s="72"/>
      <c r="AP24" s="74"/>
      <c r="AQ24" s="72"/>
      <c r="AR24" s="75"/>
      <c r="AS24" s="72">
        <v>1</v>
      </c>
      <c r="AT24" s="72"/>
      <c r="AU24" s="72"/>
      <c r="AV24" s="74">
        <v>7.0000000000000001E-3</v>
      </c>
      <c r="AW24" s="74"/>
      <c r="AX24" s="74"/>
    </row>
    <row r="25" spans="1:50" x14ac:dyDescent="0.3">
      <c r="A25" s="72" t="s">
        <v>49</v>
      </c>
      <c r="B25" s="72" t="s">
        <v>62</v>
      </c>
      <c r="C25" s="72">
        <v>2015</v>
      </c>
      <c r="D25" s="73" t="s">
        <v>51</v>
      </c>
      <c r="E25" s="72">
        <v>238</v>
      </c>
      <c r="F25" s="74"/>
      <c r="G25" s="72"/>
      <c r="H25" s="74"/>
      <c r="I25" s="72"/>
      <c r="J25" s="74"/>
      <c r="K25" s="72"/>
      <c r="L25" s="74"/>
      <c r="M25" s="72"/>
      <c r="N25" s="74">
        <v>1.7</v>
      </c>
      <c r="O25" s="72">
        <v>2</v>
      </c>
      <c r="P25" s="74">
        <v>0.47499999999999998</v>
      </c>
      <c r="Q25" s="72">
        <v>1</v>
      </c>
      <c r="R25" s="74"/>
      <c r="S25" s="72"/>
      <c r="T25" s="74"/>
      <c r="U25" s="72"/>
      <c r="V25" s="74"/>
      <c r="W25" s="72"/>
      <c r="X25" s="74"/>
      <c r="Y25" s="72"/>
      <c r="Z25" s="74"/>
      <c r="AA25" s="72"/>
      <c r="AB25" s="74"/>
      <c r="AC25" s="72"/>
      <c r="AD25" s="74">
        <v>0.3</v>
      </c>
      <c r="AE25" s="72">
        <v>1</v>
      </c>
      <c r="AF25" s="74"/>
      <c r="AG25" s="72"/>
      <c r="AH25" s="74"/>
      <c r="AI25" s="72"/>
      <c r="AJ25" s="74"/>
      <c r="AK25" s="72"/>
      <c r="AL25" s="74">
        <v>7.4999999999999997E-2</v>
      </c>
      <c r="AM25" s="72">
        <v>3</v>
      </c>
      <c r="AN25" s="74"/>
      <c r="AO25" s="72"/>
      <c r="AP25" s="74"/>
      <c r="AQ25" s="72"/>
      <c r="AR25" s="75"/>
      <c r="AS25" s="72"/>
      <c r="AT25" s="72"/>
      <c r="AU25" s="72"/>
      <c r="AV25" s="74"/>
      <c r="AW25" s="74"/>
      <c r="AX25" s="74"/>
    </row>
    <row r="26" spans="1:50" x14ac:dyDescent="0.3">
      <c r="A26" s="72" t="s">
        <v>49</v>
      </c>
      <c r="B26" s="72" t="s">
        <v>62</v>
      </c>
      <c r="C26" s="72">
        <v>2015</v>
      </c>
      <c r="D26" s="73" t="s">
        <v>51</v>
      </c>
      <c r="E26" s="72">
        <v>236</v>
      </c>
      <c r="F26" s="74"/>
      <c r="G26" s="72"/>
      <c r="H26" s="74"/>
      <c r="I26" s="72"/>
      <c r="J26" s="74"/>
      <c r="K26" s="72"/>
      <c r="L26" s="74"/>
      <c r="M26" s="72"/>
      <c r="N26" s="74"/>
      <c r="O26" s="72"/>
      <c r="P26" s="74">
        <v>1.625</v>
      </c>
      <c r="Q26" s="72">
        <v>1</v>
      </c>
      <c r="R26" s="74"/>
      <c r="S26" s="72"/>
      <c r="T26" s="74"/>
      <c r="U26" s="72"/>
      <c r="V26" s="74"/>
      <c r="W26" s="72"/>
      <c r="X26" s="74"/>
      <c r="Y26" s="72"/>
      <c r="Z26" s="74"/>
      <c r="AA26" s="72"/>
      <c r="AB26" s="74">
        <v>0.05</v>
      </c>
      <c r="AC26" s="72">
        <v>13</v>
      </c>
      <c r="AD26" s="74"/>
      <c r="AE26" s="72"/>
      <c r="AF26" s="74"/>
      <c r="AG26" s="72"/>
      <c r="AH26" s="74"/>
      <c r="AI26" s="72"/>
      <c r="AJ26" s="74"/>
      <c r="AK26" s="72"/>
      <c r="AL26" s="74"/>
      <c r="AM26" s="72"/>
      <c r="AN26" s="74"/>
      <c r="AO26" s="72"/>
      <c r="AP26" s="74"/>
      <c r="AQ26" s="72"/>
      <c r="AR26" s="75"/>
      <c r="AS26" s="72">
        <v>13</v>
      </c>
      <c r="AT26" s="72"/>
      <c r="AU26" s="72"/>
      <c r="AV26" s="74">
        <v>0.05</v>
      </c>
      <c r="AW26" s="74"/>
      <c r="AX26" s="74"/>
    </row>
    <row r="27" spans="1:50" x14ac:dyDescent="0.3">
      <c r="A27" s="72" t="s">
        <v>49</v>
      </c>
      <c r="B27" s="72" t="s">
        <v>62</v>
      </c>
      <c r="C27" s="72">
        <v>2015</v>
      </c>
      <c r="D27" s="73" t="s">
        <v>51</v>
      </c>
      <c r="E27" s="72">
        <v>235</v>
      </c>
      <c r="F27" s="74"/>
      <c r="G27" s="72"/>
      <c r="H27" s="74"/>
      <c r="I27" s="72"/>
      <c r="J27" s="74"/>
      <c r="K27" s="72"/>
      <c r="L27" s="74"/>
      <c r="M27" s="72"/>
      <c r="N27" s="74">
        <v>0.1</v>
      </c>
      <c r="O27" s="72">
        <v>1</v>
      </c>
      <c r="P27" s="74">
        <v>3.85</v>
      </c>
      <c r="Q27" s="72">
        <v>1</v>
      </c>
      <c r="R27" s="74"/>
      <c r="S27" s="72"/>
      <c r="T27" s="74"/>
      <c r="U27" s="72"/>
      <c r="V27" s="74"/>
      <c r="W27" s="72"/>
      <c r="X27" s="74"/>
      <c r="Y27" s="72"/>
      <c r="Z27" s="74"/>
      <c r="AA27" s="72"/>
      <c r="AB27" s="74">
        <v>0.15</v>
      </c>
      <c r="AC27" s="72">
        <v>10</v>
      </c>
      <c r="AD27" s="74">
        <v>2.5000000000000001E-2</v>
      </c>
      <c r="AE27" s="72">
        <v>1</v>
      </c>
      <c r="AF27" s="74"/>
      <c r="AG27" s="72"/>
      <c r="AH27" s="74"/>
      <c r="AI27" s="72"/>
      <c r="AJ27" s="74"/>
      <c r="AK27" s="72"/>
      <c r="AL27" s="74">
        <v>2.5000000000000001E-2</v>
      </c>
      <c r="AM27" s="72">
        <v>7</v>
      </c>
      <c r="AN27" s="74"/>
      <c r="AO27" s="72"/>
      <c r="AP27" s="74"/>
      <c r="AQ27" s="72"/>
      <c r="AR27" s="75"/>
      <c r="AS27" s="72"/>
      <c r="AT27" s="72">
        <v>10</v>
      </c>
      <c r="AU27" s="72"/>
      <c r="AV27" s="74"/>
      <c r="AW27" s="74">
        <v>0.15</v>
      </c>
      <c r="AX27" s="74"/>
    </row>
    <row r="28" spans="1:50" x14ac:dyDescent="0.3">
      <c r="A28" s="72" t="s">
        <v>49</v>
      </c>
      <c r="B28" s="72" t="s">
        <v>63</v>
      </c>
      <c r="C28" s="72">
        <v>2015</v>
      </c>
      <c r="D28" s="73" t="s">
        <v>51</v>
      </c>
      <c r="E28" s="72">
        <v>225</v>
      </c>
      <c r="F28" s="74"/>
      <c r="G28" s="72"/>
      <c r="H28" s="74"/>
      <c r="I28" s="72"/>
      <c r="J28" s="74"/>
      <c r="K28" s="72"/>
      <c r="L28" s="74"/>
      <c r="M28" s="72"/>
      <c r="N28" s="74">
        <v>1.2</v>
      </c>
      <c r="O28" s="72">
        <v>1</v>
      </c>
      <c r="P28" s="74">
        <v>6.25</v>
      </c>
      <c r="Q28" s="72">
        <v>1</v>
      </c>
      <c r="R28" s="74"/>
      <c r="S28" s="72"/>
      <c r="T28" s="74"/>
      <c r="U28" s="72"/>
      <c r="V28" s="74"/>
      <c r="W28" s="72"/>
      <c r="X28" s="74"/>
      <c r="Y28" s="72"/>
      <c r="Z28" s="74"/>
      <c r="AA28" s="72"/>
      <c r="AB28" s="74"/>
      <c r="AC28" s="72"/>
      <c r="AD28" s="74"/>
      <c r="AE28" s="72"/>
      <c r="AF28" s="74"/>
      <c r="AG28" s="72"/>
      <c r="AH28" s="74"/>
      <c r="AI28" s="72"/>
      <c r="AJ28" s="74"/>
      <c r="AK28" s="72"/>
      <c r="AL28" s="74"/>
      <c r="AM28" s="72"/>
      <c r="AN28" s="74"/>
      <c r="AO28" s="72"/>
      <c r="AP28" s="74"/>
      <c r="AQ28" s="72"/>
      <c r="AR28" s="75"/>
      <c r="AS28" s="72"/>
      <c r="AT28" s="72"/>
      <c r="AU28" s="72"/>
      <c r="AV28" s="74"/>
      <c r="AW28" s="74"/>
      <c r="AX28" s="74"/>
    </row>
    <row r="29" spans="1:50" x14ac:dyDescent="0.3">
      <c r="A29" s="72" t="s">
        <v>49</v>
      </c>
      <c r="B29" s="72" t="s">
        <v>62</v>
      </c>
      <c r="C29" s="72">
        <v>2015</v>
      </c>
      <c r="D29" s="73" t="s">
        <v>51</v>
      </c>
      <c r="E29" s="72">
        <v>240</v>
      </c>
      <c r="F29" s="74"/>
      <c r="G29" s="72"/>
      <c r="H29" s="74"/>
      <c r="I29" s="72"/>
      <c r="J29" s="74">
        <v>0.22</v>
      </c>
      <c r="K29" s="72">
        <v>1</v>
      </c>
      <c r="L29" s="74"/>
      <c r="M29" s="72"/>
      <c r="N29" s="74">
        <v>0.05</v>
      </c>
      <c r="O29" s="72">
        <v>1</v>
      </c>
      <c r="P29" s="74">
        <v>5.1630000000000003</v>
      </c>
      <c r="Q29" s="72">
        <v>2</v>
      </c>
      <c r="R29" s="74"/>
      <c r="S29" s="72"/>
      <c r="T29" s="74"/>
      <c r="U29" s="72"/>
      <c r="V29" s="74"/>
      <c r="W29" s="72"/>
      <c r="X29" s="74"/>
      <c r="Y29" s="72"/>
      <c r="Z29" s="74"/>
      <c r="AA29" s="72"/>
      <c r="AB29" s="74">
        <v>2.5000000000000001E-2</v>
      </c>
      <c r="AC29" s="72">
        <v>1</v>
      </c>
      <c r="AD29" s="74"/>
      <c r="AE29" s="72"/>
      <c r="AF29" s="74"/>
      <c r="AG29" s="72"/>
      <c r="AH29" s="74"/>
      <c r="AI29" s="72"/>
      <c r="AJ29" s="74"/>
      <c r="AK29" s="72"/>
      <c r="AL29" s="74"/>
      <c r="AM29" s="72"/>
      <c r="AN29" s="74"/>
      <c r="AO29" s="72"/>
      <c r="AP29" s="74"/>
      <c r="AQ29" s="72"/>
      <c r="AR29" s="75"/>
      <c r="AS29" s="72">
        <v>1</v>
      </c>
      <c r="AT29" s="72"/>
      <c r="AU29" s="72"/>
      <c r="AV29" s="74">
        <v>2.5000000000000001E-2</v>
      </c>
      <c r="AW29" s="74"/>
      <c r="AX29" s="74"/>
    </row>
    <row r="30" spans="1:50" x14ac:dyDescent="0.3">
      <c r="A30" s="72" t="s">
        <v>49</v>
      </c>
      <c r="B30" s="72" t="s">
        <v>61</v>
      </c>
      <c r="C30" s="72">
        <v>2015</v>
      </c>
      <c r="D30" s="73" t="s">
        <v>51</v>
      </c>
      <c r="E30" s="72">
        <v>250</v>
      </c>
      <c r="F30" s="74"/>
      <c r="G30" s="72"/>
      <c r="H30" s="74"/>
      <c r="I30" s="72"/>
      <c r="J30" s="74"/>
      <c r="K30" s="72"/>
      <c r="L30" s="74"/>
      <c r="M30" s="72"/>
      <c r="N30" s="74">
        <v>0.05</v>
      </c>
      <c r="O30" s="72">
        <v>1</v>
      </c>
      <c r="P30" s="74">
        <v>7.5</v>
      </c>
      <c r="Q30" s="72">
        <v>2</v>
      </c>
      <c r="R30" s="74"/>
      <c r="S30" s="72"/>
      <c r="T30" s="74"/>
      <c r="U30" s="72"/>
      <c r="V30" s="74"/>
      <c r="W30" s="72"/>
      <c r="X30" s="74"/>
      <c r="Y30" s="72"/>
      <c r="Z30" s="74"/>
      <c r="AA30" s="72"/>
      <c r="AB30" s="74">
        <v>0.10299999999999999</v>
      </c>
      <c r="AC30" s="72">
        <v>3</v>
      </c>
      <c r="AD30" s="74"/>
      <c r="AE30" s="72"/>
      <c r="AF30" s="74"/>
      <c r="AG30" s="72"/>
      <c r="AH30" s="74"/>
      <c r="AI30" s="72"/>
      <c r="AJ30" s="74"/>
      <c r="AK30" s="72"/>
      <c r="AL30" s="74"/>
      <c r="AM30" s="72"/>
      <c r="AN30" s="74"/>
      <c r="AO30" s="72"/>
      <c r="AP30" s="74"/>
      <c r="AQ30" s="72"/>
      <c r="AR30" s="75"/>
      <c r="AS30" s="72"/>
      <c r="AT30" s="72">
        <v>3</v>
      </c>
      <c r="AU30" s="72"/>
      <c r="AV30" s="74"/>
      <c r="AW30" s="74">
        <v>0.10299999999999999</v>
      </c>
      <c r="AX30" s="74"/>
    </row>
    <row r="31" spans="1:50" x14ac:dyDescent="0.3">
      <c r="A31" s="72" t="s">
        <v>49</v>
      </c>
      <c r="B31" s="72" t="s">
        <v>63</v>
      </c>
      <c r="C31" s="72">
        <v>2015</v>
      </c>
      <c r="D31" s="73" t="s">
        <v>51</v>
      </c>
      <c r="E31" s="72">
        <v>221</v>
      </c>
      <c r="F31" s="74"/>
      <c r="G31" s="72"/>
      <c r="H31" s="74">
        <v>3.8530000000000002</v>
      </c>
      <c r="I31" s="72">
        <v>1</v>
      </c>
      <c r="J31" s="74"/>
      <c r="K31" s="72"/>
      <c r="L31" s="74"/>
      <c r="M31" s="72"/>
      <c r="N31" s="74">
        <v>4.7E-2</v>
      </c>
      <c r="O31" s="72">
        <v>1</v>
      </c>
      <c r="P31" s="74"/>
      <c r="Q31" s="72"/>
      <c r="R31" s="74"/>
      <c r="S31" s="72"/>
      <c r="T31" s="74"/>
      <c r="U31" s="72"/>
      <c r="V31" s="74"/>
      <c r="W31" s="72"/>
      <c r="X31" s="74">
        <v>4.0000000000000001E-3</v>
      </c>
      <c r="Y31" s="72">
        <v>1</v>
      </c>
      <c r="Z31" s="74"/>
      <c r="AA31" s="72"/>
      <c r="AB31" s="74">
        <v>1E-3</v>
      </c>
      <c r="AC31" s="72">
        <v>1</v>
      </c>
      <c r="AD31" s="74"/>
      <c r="AE31" s="72"/>
      <c r="AF31" s="74"/>
      <c r="AG31" s="72"/>
      <c r="AH31" s="74"/>
      <c r="AI31" s="72"/>
      <c r="AJ31" s="74"/>
      <c r="AK31" s="72"/>
      <c r="AL31" s="74"/>
      <c r="AM31" s="72"/>
      <c r="AN31" s="74"/>
      <c r="AO31" s="72"/>
      <c r="AP31" s="74"/>
      <c r="AQ31" s="72"/>
      <c r="AR31" s="75"/>
      <c r="AS31" s="72"/>
      <c r="AT31" s="72">
        <v>1</v>
      </c>
      <c r="AU31" s="72"/>
      <c r="AV31" s="74"/>
      <c r="AW31" s="74">
        <v>1E-3</v>
      </c>
      <c r="AX31" s="74"/>
    </row>
    <row r="32" spans="1:50" x14ac:dyDescent="0.3">
      <c r="A32" s="72" t="s">
        <v>49</v>
      </c>
      <c r="B32" s="72" t="s">
        <v>63</v>
      </c>
      <c r="C32" s="72">
        <v>2015</v>
      </c>
      <c r="D32" s="73" t="s">
        <v>51</v>
      </c>
      <c r="E32" s="72">
        <v>220</v>
      </c>
      <c r="F32" s="74"/>
      <c r="G32" s="72"/>
      <c r="H32" s="74">
        <v>3.7250000000000001</v>
      </c>
      <c r="I32" s="72">
        <v>1</v>
      </c>
      <c r="J32" s="74"/>
      <c r="K32" s="72"/>
      <c r="L32" s="74"/>
      <c r="M32" s="72"/>
      <c r="N32" s="74"/>
      <c r="O32" s="72"/>
      <c r="P32" s="74"/>
      <c r="Q32" s="72"/>
      <c r="R32" s="74"/>
      <c r="S32" s="72"/>
      <c r="T32" s="74"/>
      <c r="U32" s="72"/>
      <c r="V32" s="74"/>
      <c r="W32" s="72"/>
      <c r="X32" s="74"/>
      <c r="Y32" s="72"/>
      <c r="Z32" s="74">
        <v>0.1</v>
      </c>
      <c r="AA32" s="72">
        <v>1</v>
      </c>
      <c r="AB32" s="74"/>
      <c r="AC32" s="72"/>
      <c r="AD32" s="74"/>
      <c r="AE32" s="72"/>
      <c r="AF32" s="74"/>
      <c r="AG32" s="72"/>
      <c r="AH32" s="74"/>
      <c r="AI32" s="72"/>
      <c r="AJ32" s="74"/>
      <c r="AK32" s="72"/>
      <c r="AL32" s="74"/>
      <c r="AM32" s="72"/>
      <c r="AN32" s="74"/>
      <c r="AO32" s="72"/>
      <c r="AP32" s="74"/>
      <c r="AQ32" s="72"/>
      <c r="AR32" s="75"/>
      <c r="AS32" s="72"/>
      <c r="AT32" s="72"/>
      <c r="AU32" s="72"/>
      <c r="AV32" s="74"/>
      <c r="AW32" s="74"/>
      <c r="AX32" s="74"/>
    </row>
    <row r="33" spans="1:50" x14ac:dyDescent="0.3">
      <c r="A33" s="72" t="s">
        <v>49</v>
      </c>
      <c r="B33" s="72" t="s">
        <v>61</v>
      </c>
      <c r="C33" s="72">
        <v>2015</v>
      </c>
      <c r="D33" s="73" t="s">
        <v>51</v>
      </c>
      <c r="E33" s="72">
        <v>247</v>
      </c>
      <c r="F33" s="74"/>
      <c r="G33" s="72"/>
      <c r="H33" s="74"/>
      <c r="I33" s="72"/>
      <c r="J33" s="74"/>
      <c r="K33" s="72"/>
      <c r="L33" s="74"/>
      <c r="M33" s="72"/>
      <c r="N33" s="74">
        <v>4.1000000000000002E-2</v>
      </c>
      <c r="O33" s="72">
        <v>1</v>
      </c>
      <c r="P33" s="74">
        <v>1.62</v>
      </c>
      <c r="Q33" s="72">
        <v>1</v>
      </c>
      <c r="R33" s="74"/>
      <c r="S33" s="72"/>
      <c r="T33" s="74"/>
      <c r="U33" s="72"/>
      <c r="V33" s="74"/>
      <c r="W33" s="72"/>
      <c r="X33" s="74"/>
      <c r="Y33" s="72"/>
      <c r="Z33" s="74"/>
      <c r="AA33" s="72"/>
      <c r="AB33" s="74">
        <v>3.4000000000000002E-2</v>
      </c>
      <c r="AC33" s="72">
        <v>7</v>
      </c>
      <c r="AD33" s="74"/>
      <c r="AE33" s="72"/>
      <c r="AF33" s="74"/>
      <c r="AG33" s="72"/>
      <c r="AH33" s="74">
        <v>2E-3</v>
      </c>
      <c r="AI33" s="72">
        <v>1</v>
      </c>
      <c r="AJ33" s="74"/>
      <c r="AK33" s="72"/>
      <c r="AL33" s="74"/>
      <c r="AM33" s="72"/>
      <c r="AN33" s="74"/>
      <c r="AO33" s="72"/>
      <c r="AP33" s="74"/>
      <c r="AQ33" s="72"/>
      <c r="AR33" s="75"/>
      <c r="AS33" s="72">
        <v>7</v>
      </c>
      <c r="AT33" s="72"/>
      <c r="AU33" s="72"/>
      <c r="AV33" s="74">
        <v>3.4000000000000002E-2</v>
      </c>
      <c r="AW33" s="74"/>
      <c r="AX33" s="74"/>
    </row>
    <row r="34" spans="1:50" x14ac:dyDescent="0.3">
      <c r="A34" s="72" t="s">
        <v>49</v>
      </c>
      <c r="B34" s="72" t="s">
        <v>63</v>
      </c>
      <c r="C34" s="72">
        <v>2015</v>
      </c>
      <c r="D34" s="73" t="s">
        <v>51</v>
      </c>
      <c r="E34" s="72">
        <v>224</v>
      </c>
      <c r="F34" s="74"/>
      <c r="G34" s="72"/>
      <c r="H34" s="74"/>
      <c r="I34" s="72"/>
      <c r="J34" s="74"/>
      <c r="K34" s="72"/>
      <c r="L34" s="74"/>
      <c r="M34" s="72"/>
      <c r="N34" s="74">
        <v>2.5000000000000001E-2</v>
      </c>
      <c r="O34" s="72">
        <v>1</v>
      </c>
      <c r="P34" s="74">
        <v>2.4079999999999999</v>
      </c>
      <c r="Q34" s="72">
        <v>1</v>
      </c>
      <c r="R34" s="74"/>
      <c r="S34" s="72"/>
      <c r="T34" s="74"/>
      <c r="U34" s="72"/>
      <c r="V34" s="74"/>
      <c r="W34" s="72"/>
      <c r="X34" s="74"/>
      <c r="Y34" s="72"/>
      <c r="Z34" s="74"/>
      <c r="AA34" s="72"/>
      <c r="AB34" s="74">
        <v>2E-3</v>
      </c>
      <c r="AC34" s="72">
        <v>1</v>
      </c>
      <c r="AD34" s="74"/>
      <c r="AE34" s="72"/>
      <c r="AF34" s="74"/>
      <c r="AG34" s="72"/>
      <c r="AH34" s="74"/>
      <c r="AI34" s="72"/>
      <c r="AJ34" s="74"/>
      <c r="AK34" s="72"/>
      <c r="AL34" s="74">
        <v>2E-3</v>
      </c>
      <c r="AM34" s="72">
        <v>1</v>
      </c>
      <c r="AN34" s="74"/>
      <c r="AO34" s="72"/>
      <c r="AP34" s="74"/>
      <c r="AQ34" s="72"/>
      <c r="AR34" s="75"/>
      <c r="AS34" s="72"/>
      <c r="AT34" s="72">
        <v>1</v>
      </c>
      <c r="AU34" s="72"/>
      <c r="AV34" s="74"/>
      <c r="AW34" s="74">
        <v>2E-3</v>
      </c>
      <c r="AX34" s="74"/>
    </row>
    <row r="35" spans="1:50" x14ac:dyDescent="0.3">
      <c r="A35" s="72" t="s">
        <v>49</v>
      </c>
      <c r="B35" s="72" t="s">
        <v>63</v>
      </c>
      <c r="C35" s="72">
        <v>2015</v>
      </c>
      <c r="D35" s="73" t="s">
        <v>51</v>
      </c>
      <c r="E35" s="72">
        <v>222</v>
      </c>
      <c r="F35" s="74"/>
      <c r="G35" s="72"/>
      <c r="H35" s="74"/>
      <c r="I35" s="72"/>
      <c r="J35" s="74"/>
      <c r="K35" s="72"/>
      <c r="L35" s="74"/>
      <c r="M35" s="72"/>
      <c r="N35" s="74">
        <v>0.03</v>
      </c>
      <c r="O35" s="72">
        <v>1</v>
      </c>
      <c r="P35" s="74">
        <v>3.823</v>
      </c>
      <c r="Q35" s="72">
        <v>1</v>
      </c>
      <c r="R35" s="74"/>
      <c r="S35" s="72"/>
      <c r="T35" s="74"/>
      <c r="U35" s="72"/>
      <c r="V35" s="74"/>
      <c r="W35" s="72"/>
      <c r="X35" s="74"/>
      <c r="Y35" s="72"/>
      <c r="Z35" s="74"/>
      <c r="AA35" s="72"/>
      <c r="AB35" s="74"/>
      <c r="AC35" s="72"/>
      <c r="AD35" s="74"/>
      <c r="AE35" s="72"/>
      <c r="AF35" s="74"/>
      <c r="AG35" s="72"/>
      <c r="AH35" s="74"/>
      <c r="AI35" s="72"/>
      <c r="AJ35" s="74"/>
      <c r="AK35" s="72"/>
      <c r="AL35" s="74"/>
      <c r="AM35" s="72"/>
      <c r="AN35" s="74"/>
      <c r="AO35" s="72"/>
      <c r="AP35" s="74"/>
      <c r="AQ35" s="72"/>
      <c r="AR35" s="75"/>
      <c r="AS35" s="72"/>
      <c r="AT35" s="72"/>
      <c r="AU35" s="72"/>
      <c r="AV35" s="74"/>
      <c r="AW35" s="74"/>
      <c r="AX35" s="74"/>
    </row>
    <row r="36" spans="1:50" x14ac:dyDescent="0.3">
      <c r="A36" s="72" t="s">
        <v>56</v>
      </c>
      <c r="B36" s="72" t="s">
        <v>57</v>
      </c>
      <c r="C36" s="72">
        <v>2015</v>
      </c>
      <c r="D36" s="73" t="s">
        <v>51</v>
      </c>
      <c r="E36" s="72">
        <v>136</v>
      </c>
      <c r="F36" s="74">
        <v>0.42499999999999999</v>
      </c>
      <c r="G36" s="72">
        <v>1</v>
      </c>
      <c r="H36" s="74"/>
      <c r="I36" s="72"/>
      <c r="J36" s="74"/>
      <c r="K36" s="72"/>
      <c r="L36" s="74"/>
      <c r="M36" s="72"/>
      <c r="N36" s="74">
        <v>2.9510000000000001</v>
      </c>
      <c r="O36" s="72">
        <v>1</v>
      </c>
      <c r="P36" s="74"/>
      <c r="Q36" s="72"/>
      <c r="R36" s="74"/>
      <c r="S36" s="72"/>
      <c r="T36" s="74"/>
      <c r="U36" s="72"/>
      <c r="V36" s="74"/>
      <c r="W36" s="72"/>
      <c r="X36" s="74"/>
      <c r="Y36" s="72"/>
      <c r="Z36" s="74"/>
      <c r="AA36" s="72"/>
      <c r="AB36" s="74"/>
      <c r="AC36" s="72"/>
      <c r="AD36" s="74"/>
      <c r="AE36" s="72"/>
      <c r="AF36" s="74"/>
      <c r="AG36" s="72"/>
      <c r="AH36" s="74"/>
      <c r="AI36" s="72"/>
      <c r="AJ36" s="74"/>
      <c r="AK36" s="72"/>
      <c r="AL36" s="74"/>
      <c r="AM36" s="72"/>
      <c r="AN36" s="74"/>
      <c r="AO36" s="72"/>
      <c r="AP36" s="74"/>
      <c r="AQ36" s="72"/>
      <c r="AR36" s="75"/>
      <c r="AS36" s="72"/>
      <c r="AT36" s="72"/>
      <c r="AU36" s="72"/>
      <c r="AV36" s="74"/>
      <c r="AW36" s="74"/>
      <c r="AX36" s="74"/>
    </row>
    <row r="37" spans="1:50" x14ac:dyDescent="0.3">
      <c r="A37" s="72" t="s">
        <v>49</v>
      </c>
      <c r="B37" s="72" t="s">
        <v>63</v>
      </c>
      <c r="C37" s="72">
        <v>2015</v>
      </c>
      <c r="D37" s="73" t="s">
        <v>51</v>
      </c>
      <c r="E37" s="72">
        <v>213</v>
      </c>
      <c r="F37" s="74"/>
      <c r="G37" s="72"/>
      <c r="H37" s="74"/>
      <c r="I37" s="72"/>
      <c r="J37" s="74">
        <v>4.423</v>
      </c>
      <c r="K37" s="72">
        <v>2</v>
      </c>
      <c r="L37" s="74"/>
      <c r="M37" s="72"/>
      <c r="N37" s="74">
        <v>4.5999999999999999E-2</v>
      </c>
      <c r="O37" s="72">
        <v>1</v>
      </c>
      <c r="P37" s="74">
        <v>0.80200000000000005</v>
      </c>
      <c r="Q37" s="72">
        <v>1</v>
      </c>
      <c r="R37" s="74"/>
      <c r="S37" s="72"/>
      <c r="T37" s="74"/>
      <c r="U37" s="72"/>
      <c r="V37" s="74"/>
      <c r="W37" s="72"/>
      <c r="X37" s="74"/>
      <c r="Y37" s="72"/>
      <c r="Z37" s="74">
        <v>0.05</v>
      </c>
      <c r="AA37" s="72">
        <v>2</v>
      </c>
      <c r="AB37" s="74"/>
      <c r="AC37" s="72"/>
      <c r="AD37" s="74"/>
      <c r="AE37" s="72"/>
      <c r="AF37" s="74">
        <v>0.125</v>
      </c>
      <c r="AG37" s="72">
        <v>1</v>
      </c>
      <c r="AH37" s="74"/>
      <c r="AI37" s="72"/>
      <c r="AJ37" s="74"/>
      <c r="AK37" s="72"/>
      <c r="AL37" s="74"/>
      <c r="AM37" s="72"/>
      <c r="AN37" s="74"/>
      <c r="AO37" s="72"/>
      <c r="AP37" s="74"/>
      <c r="AQ37" s="72"/>
      <c r="AR37" s="75"/>
      <c r="AS37" s="72"/>
      <c r="AT37" s="72"/>
      <c r="AU37" s="72"/>
      <c r="AV37" s="74"/>
      <c r="AW37" s="74"/>
      <c r="AX37" s="74"/>
    </row>
    <row r="38" spans="1:50" x14ac:dyDescent="0.3">
      <c r="A38" s="72" t="s">
        <v>49</v>
      </c>
      <c r="B38" s="72" t="s">
        <v>63</v>
      </c>
      <c r="C38" s="72">
        <v>2015</v>
      </c>
      <c r="D38" s="73" t="s">
        <v>51</v>
      </c>
      <c r="E38" s="72">
        <v>212</v>
      </c>
      <c r="F38" s="74"/>
      <c r="G38" s="72"/>
      <c r="H38" s="74"/>
      <c r="I38" s="72"/>
      <c r="J38" s="74"/>
      <c r="K38" s="72"/>
      <c r="L38" s="74">
        <v>1.25</v>
      </c>
      <c r="M38" s="72">
        <v>1</v>
      </c>
      <c r="N38" s="74"/>
      <c r="O38" s="72"/>
      <c r="P38" s="74">
        <v>0.127</v>
      </c>
      <c r="Q38" s="72">
        <v>1</v>
      </c>
      <c r="R38" s="74">
        <v>3.0000000000000001E-3</v>
      </c>
      <c r="S38" s="72">
        <v>1</v>
      </c>
      <c r="T38" s="74"/>
      <c r="U38" s="72"/>
      <c r="V38" s="74"/>
      <c r="W38" s="72"/>
      <c r="X38" s="74"/>
      <c r="Y38" s="72"/>
      <c r="Z38" s="74"/>
      <c r="AA38" s="72"/>
      <c r="AB38" s="74"/>
      <c r="AC38" s="72"/>
      <c r="AD38" s="74"/>
      <c r="AE38" s="72"/>
      <c r="AF38" s="74"/>
      <c r="AG38" s="72"/>
      <c r="AH38" s="74"/>
      <c r="AI38" s="72"/>
      <c r="AJ38" s="74"/>
      <c r="AK38" s="72"/>
      <c r="AL38" s="74"/>
      <c r="AM38" s="72"/>
      <c r="AN38" s="74"/>
      <c r="AO38" s="72"/>
      <c r="AP38" s="74"/>
      <c r="AQ38" s="72"/>
      <c r="AR38" s="75"/>
      <c r="AS38" s="72"/>
      <c r="AT38" s="72"/>
      <c r="AU38" s="72"/>
      <c r="AV38" s="74"/>
      <c r="AW38" s="74"/>
      <c r="AX38" s="74"/>
    </row>
    <row r="39" spans="1:50" x14ac:dyDescent="0.3">
      <c r="A39" s="72" t="s">
        <v>49</v>
      </c>
      <c r="B39" s="72" t="s">
        <v>64</v>
      </c>
      <c r="C39" s="72">
        <v>2015</v>
      </c>
      <c r="D39" s="73" t="s">
        <v>51</v>
      </c>
      <c r="E39" s="72">
        <v>209</v>
      </c>
      <c r="F39" s="74"/>
      <c r="G39" s="72"/>
      <c r="H39" s="74"/>
      <c r="I39" s="72"/>
      <c r="J39" s="74"/>
      <c r="K39" s="72"/>
      <c r="L39" s="74"/>
      <c r="M39" s="72"/>
      <c r="N39" s="74"/>
      <c r="O39" s="72"/>
      <c r="P39" s="74">
        <v>1.27</v>
      </c>
      <c r="Q39" s="72">
        <v>1</v>
      </c>
      <c r="R39" s="74"/>
      <c r="S39" s="72"/>
      <c r="T39" s="74"/>
      <c r="U39" s="72"/>
      <c r="V39" s="74"/>
      <c r="W39" s="72"/>
      <c r="X39" s="74"/>
      <c r="Y39" s="72"/>
      <c r="Z39" s="74"/>
      <c r="AA39" s="72"/>
      <c r="AB39" s="74"/>
      <c r="AC39" s="72"/>
      <c r="AD39" s="74"/>
      <c r="AE39" s="72"/>
      <c r="AF39" s="74"/>
      <c r="AG39" s="72"/>
      <c r="AH39" s="74"/>
      <c r="AI39" s="72"/>
      <c r="AJ39" s="74"/>
      <c r="AK39" s="72"/>
      <c r="AL39" s="74">
        <v>5.0000000000000001E-3</v>
      </c>
      <c r="AM39" s="72">
        <v>1</v>
      </c>
      <c r="AN39" s="74"/>
      <c r="AO39" s="72"/>
      <c r="AP39" s="74"/>
      <c r="AQ39" s="72"/>
      <c r="AR39" s="75"/>
      <c r="AS39" s="72"/>
      <c r="AT39" s="72"/>
      <c r="AU39" s="72"/>
      <c r="AV39" s="74"/>
      <c r="AW39" s="74"/>
      <c r="AX39" s="74"/>
    </row>
    <row r="40" spans="1:50" x14ac:dyDescent="0.3">
      <c r="A40" s="72" t="s">
        <v>49</v>
      </c>
      <c r="B40" s="72" t="s">
        <v>57</v>
      </c>
      <c r="C40" s="72">
        <v>2015</v>
      </c>
      <c r="D40" s="73" t="s">
        <v>51</v>
      </c>
      <c r="E40" s="72">
        <v>45</v>
      </c>
      <c r="F40" s="74"/>
      <c r="G40" s="72"/>
      <c r="H40" s="74"/>
      <c r="I40" s="72"/>
      <c r="J40" s="74">
        <v>1.83</v>
      </c>
      <c r="K40" s="72">
        <v>1</v>
      </c>
      <c r="L40" s="74"/>
      <c r="M40" s="72"/>
      <c r="N40" s="74">
        <v>5.0000000000000001E-3</v>
      </c>
      <c r="O40" s="72">
        <v>1</v>
      </c>
      <c r="P40" s="74"/>
      <c r="Q40" s="72"/>
      <c r="R40" s="74"/>
      <c r="S40" s="72"/>
      <c r="T40" s="74"/>
      <c r="U40" s="72"/>
      <c r="V40" s="74"/>
      <c r="W40" s="72"/>
      <c r="X40" s="74"/>
      <c r="Y40" s="72"/>
      <c r="Z40" s="74"/>
      <c r="AA40" s="72"/>
      <c r="AB40" s="74"/>
      <c r="AC40" s="72"/>
      <c r="AD40" s="74"/>
      <c r="AE40" s="72"/>
      <c r="AF40" s="74"/>
      <c r="AG40" s="72"/>
      <c r="AH40" s="74"/>
      <c r="AI40" s="72"/>
      <c r="AJ40" s="74">
        <v>7.0000000000000001E-3</v>
      </c>
      <c r="AK40" s="72">
        <v>1</v>
      </c>
      <c r="AL40" s="74"/>
      <c r="AM40" s="72"/>
      <c r="AN40" s="74"/>
      <c r="AO40" s="72"/>
      <c r="AP40" s="74"/>
      <c r="AQ40" s="72"/>
      <c r="AR40" s="75"/>
      <c r="AS40" s="72"/>
      <c r="AT40" s="72"/>
      <c r="AU40" s="72"/>
      <c r="AV40" s="74"/>
      <c r="AW40" s="74"/>
      <c r="AX40" s="74"/>
    </row>
    <row r="41" spans="1:50" x14ac:dyDescent="0.3">
      <c r="A41" s="72" t="s">
        <v>49</v>
      </c>
      <c r="B41" s="72" t="s">
        <v>63</v>
      </c>
      <c r="C41" s="72">
        <v>2015</v>
      </c>
      <c r="D41" s="73" t="s">
        <v>51</v>
      </c>
      <c r="E41" s="72">
        <v>219</v>
      </c>
      <c r="F41" s="74"/>
      <c r="G41" s="72"/>
      <c r="H41" s="74"/>
      <c r="I41" s="72"/>
      <c r="J41" s="74"/>
      <c r="K41" s="72"/>
      <c r="L41" s="74"/>
      <c r="M41" s="72"/>
      <c r="N41" s="74"/>
      <c r="O41" s="72"/>
      <c r="P41" s="74">
        <v>0.25</v>
      </c>
      <c r="Q41" s="72">
        <v>1</v>
      </c>
      <c r="R41" s="74"/>
      <c r="S41" s="72"/>
      <c r="T41" s="74">
        <v>3</v>
      </c>
      <c r="U41" s="72">
        <v>2</v>
      </c>
      <c r="V41" s="74"/>
      <c r="W41" s="72"/>
      <c r="X41" s="74"/>
      <c r="Y41" s="72"/>
      <c r="Z41" s="74"/>
      <c r="AA41" s="72"/>
      <c r="AB41" s="74"/>
      <c r="AC41" s="72"/>
      <c r="AD41" s="74"/>
      <c r="AE41" s="72"/>
      <c r="AF41" s="74"/>
      <c r="AG41" s="72"/>
      <c r="AH41" s="74"/>
      <c r="AI41" s="72"/>
      <c r="AJ41" s="74"/>
      <c r="AK41" s="72"/>
      <c r="AL41" s="74"/>
      <c r="AM41" s="72"/>
      <c r="AN41" s="74"/>
      <c r="AO41" s="72"/>
      <c r="AP41" s="74"/>
      <c r="AQ41" s="72"/>
      <c r="AR41" s="75"/>
      <c r="AS41" s="72"/>
      <c r="AT41" s="72"/>
      <c r="AU41" s="72"/>
      <c r="AV41" s="74"/>
      <c r="AW41" s="74"/>
      <c r="AX41" s="74"/>
    </row>
    <row r="42" spans="1:50" x14ac:dyDescent="0.3">
      <c r="A42" s="72" t="s">
        <v>49</v>
      </c>
      <c r="B42" s="72" t="s">
        <v>57</v>
      </c>
      <c r="C42" s="72">
        <v>2015</v>
      </c>
      <c r="D42" s="73" t="s">
        <v>51</v>
      </c>
      <c r="E42" s="72">
        <v>53</v>
      </c>
      <c r="F42" s="74"/>
      <c r="G42" s="72"/>
      <c r="H42" s="74"/>
      <c r="I42" s="72"/>
      <c r="J42" s="74"/>
      <c r="K42" s="72"/>
      <c r="L42" s="74"/>
      <c r="M42" s="72"/>
      <c r="N42" s="74">
        <v>2</v>
      </c>
      <c r="O42" s="72">
        <v>1</v>
      </c>
      <c r="P42" s="74">
        <v>2.218</v>
      </c>
      <c r="Q42" s="72">
        <v>1</v>
      </c>
      <c r="R42" s="74"/>
      <c r="S42" s="72"/>
      <c r="T42" s="74"/>
      <c r="U42" s="72"/>
      <c r="V42" s="74"/>
      <c r="W42" s="72"/>
      <c r="X42" s="74"/>
      <c r="Y42" s="72"/>
      <c r="Z42" s="74"/>
      <c r="AA42" s="72"/>
      <c r="AB42" s="74">
        <v>0.02</v>
      </c>
      <c r="AC42" s="72">
        <v>1</v>
      </c>
      <c r="AD42" s="74"/>
      <c r="AE42" s="72"/>
      <c r="AF42" s="74"/>
      <c r="AG42" s="72"/>
      <c r="AH42" s="74">
        <v>8.9999999999999993E-3</v>
      </c>
      <c r="AI42" s="72">
        <v>1</v>
      </c>
      <c r="AJ42" s="74"/>
      <c r="AK42" s="72"/>
      <c r="AL42" s="74"/>
      <c r="AM42" s="72"/>
      <c r="AN42" s="74"/>
      <c r="AO42" s="72"/>
      <c r="AP42" s="74"/>
      <c r="AQ42" s="72"/>
      <c r="AR42" s="75"/>
      <c r="AS42" s="72">
        <v>1</v>
      </c>
      <c r="AT42" s="72"/>
      <c r="AU42" s="72"/>
      <c r="AV42" s="74">
        <v>0.02</v>
      </c>
      <c r="AW42" s="74"/>
      <c r="AX42" s="74"/>
    </row>
    <row r="43" spans="1:50" x14ac:dyDescent="0.3">
      <c r="A43" s="72" t="s">
        <v>49</v>
      </c>
      <c r="B43" s="72" t="s">
        <v>62</v>
      </c>
      <c r="C43" s="72">
        <v>2015</v>
      </c>
      <c r="D43" s="73" t="s">
        <v>51</v>
      </c>
      <c r="E43" s="72">
        <v>241</v>
      </c>
      <c r="F43" s="74"/>
      <c r="G43" s="72"/>
      <c r="H43" s="74"/>
      <c r="I43" s="72"/>
      <c r="J43" s="74"/>
      <c r="K43" s="72"/>
      <c r="L43" s="74">
        <v>3.0550000000000002</v>
      </c>
      <c r="M43" s="72">
        <v>1</v>
      </c>
      <c r="N43" s="74"/>
      <c r="O43" s="72"/>
      <c r="P43" s="74">
        <v>1.125</v>
      </c>
      <c r="Q43" s="72">
        <v>1</v>
      </c>
      <c r="R43" s="74"/>
      <c r="S43" s="72"/>
      <c r="T43" s="74"/>
      <c r="U43" s="72"/>
      <c r="V43" s="74"/>
      <c r="W43" s="72"/>
      <c r="X43" s="74"/>
      <c r="Y43" s="72"/>
      <c r="Z43" s="74"/>
      <c r="AA43" s="72"/>
      <c r="AB43" s="74">
        <v>3.0000000000000001E-3</v>
      </c>
      <c r="AC43" s="72">
        <v>1</v>
      </c>
      <c r="AD43" s="74"/>
      <c r="AE43" s="72"/>
      <c r="AF43" s="74"/>
      <c r="AG43" s="72"/>
      <c r="AH43" s="74"/>
      <c r="AI43" s="72"/>
      <c r="AJ43" s="74"/>
      <c r="AK43" s="72"/>
      <c r="AL43" s="74"/>
      <c r="AM43" s="72"/>
      <c r="AN43" s="74"/>
      <c r="AO43" s="72"/>
      <c r="AP43" s="74"/>
      <c r="AQ43" s="72"/>
      <c r="AR43" s="75"/>
      <c r="AS43" s="72"/>
      <c r="AT43" s="72">
        <v>1</v>
      </c>
      <c r="AU43" s="72"/>
      <c r="AV43" s="74"/>
      <c r="AW43" s="74">
        <v>3.0000000000000001E-3</v>
      </c>
      <c r="AX43" s="74"/>
    </row>
    <row r="44" spans="1:50" x14ac:dyDescent="0.3">
      <c r="A44" s="72" t="s">
        <v>56</v>
      </c>
      <c r="B44" s="72" t="s">
        <v>57</v>
      </c>
      <c r="C44" s="72">
        <v>2015</v>
      </c>
      <c r="D44" s="73" t="s">
        <v>51</v>
      </c>
      <c r="E44" s="72">
        <v>135</v>
      </c>
      <c r="F44" s="74"/>
      <c r="G44" s="72"/>
      <c r="H44" s="74"/>
      <c r="I44" s="72"/>
      <c r="J44" s="74"/>
      <c r="K44" s="72"/>
      <c r="L44" s="74"/>
      <c r="M44" s="72"/>
      <c r="N44" s="74"/>
      <c r="O44" s="72"/>
      <c r="P44" s="74">
        <v>1.01</v>
      </c>
      <c r="Q44" s="72">
        <v>1</v>
      </c>
      <c r="R44" s="74"/>
      <c r="S44" s="72"/>
      <c r="T44" s="74">
        <v>2.2999999999999998</v>
      </c>
      <c r="U44" s="72">
        <v>1</v>
      </c>
      <c r="V44" s="74"/>
      <c r="W44" s="72"/>
      <c r="X44" s="74"/>
      <c r="Y44" s="72"/>
      <c r="Z44" s="74"/>
      <c r="AA44" s="72"/>
      <c r="AB44" s="74"/>
      <c r="AC44" s="72"/>
      <c r="AD44" s="74"/>
      <c r="AE44" s="72"/>
      <c r="AF44" s="74"/>
      <c r="AG44" s="72"/>
      <c r="AH44" s="74"/>
      <c r="AI44" s="72"/>
      <c r="AJ44" s="74"/>
      <c r="AK44" s="72"/>
      <c r="AL44" s="74"/>
      <c r="AM44" s="72"/>
      <c r="AN44" s="74"/>
      <c r="AO44" s="72"/>
      <c r="AP44" s="74"/>
      <c r="AQ44" s="72"/>
      <c r="AR44" s="75"/>
      <c r="AS44" s="72"/>
      <c r="AT44" s="72"/>
      <c r="AU44" s="72"/>
      <c r="AV44" s="74"/>
      <c r="AW44" s="74"/>
      <c r="AX44" s="74"/>
    </row>
    <row r="45" spans="1:50" x14ac:dyDescent="0.3">
      <c r="A45" s="72" t="s">
        <v>56</v>
      </c>
      <c r="B45" s="72" t="s">
        <v>57</v>
      </c>
      <c r="C45" s="72">
        <v>2015</v>
      </c>
      <c r="D45" s="73" t="s">
        <v>51</v>
      </c>
      <c r="E45" s="72">
        <v>137</v>
      </c>
      <c r="F45" s="74"/>
      <c r="G45" s="72"/>
      <c r="H45" s="74"/>
      <c r="I45" s="72"/>
      <c r="J45" s="74"/>
      <c r="K45" s="72"/>
      <c r="L45" s="74">
        <v>2.7</v>
      </c>
      <c r="M45" s="72">
        <v>1</v>
      </c>
      <c r="N45" s="74"/>
      <c r="O45" s="72"/>
      <c r="P45" s="74">
        <v>0.85</v>
      </c>
      <c r="Q45" s="72">
        <v>1</v>
      </c>
      <c r="R45" s="74"/>
      <c r="S45" s="72"/>
      <c r="T45" s="74"/>
      <c r="U45" s="72"/>
      <c r="V45" s="74"/>
      <c r="W45" s="72"/>
      <c r="X45" s="74"/>
      <c r="Y45" s="72"/>
      <c r="Z45" s="74"/>
      <c r="AA45" s="72"/>
      <c r="AB45" s="74">
        <v>0.2</v>
      </c>
      <c r="AC45" s="72">
        <v>6</v>
      </c>
      <c r="AD45" s="74"/>
      <c r="AE45" s="72"/>
      <c r="AF45" s="74"/>
      <c r="AG45" s="72"/>
      <c r="AH45" s="74"/>
      <c r="AI45" s="72"/>
      <c r="AJ45" s="74"/>
      <c r="AK45" s="72"/>
      <c r="AL45" s="74"/>
      <c r="AM45" s="72"/>
      <c r="AN45" s="74"/>
      <c r="AO45" s="72"/>
      <c r="AP45" s="74"/>
      <c r="AQ45" s="72"/>
      <c r="AR45" s="75"/>
      <c r="AS45" s="72">
        <v>6</v>
      </c>
      <c r="AT45" s="72"/>
      <c r="AU45" s="72"/>
      <c r="AV45" s="74">
        <v>0.2</v>
      </c>
      <c r="AW45" s="74"/>
      <c r="AX45" s="74"/>
    </row>
    <row r="46" spans="1:50" x14ac:dyDescent="0.3">
      <c r="A46" s="72" t="s">
        <v>49</v>
      </c>
      <c r="B46" s="72" t="s">
        <v>57</v>
      </c>
      <c r="C46" s="72">
        <v>2015</v>
      </c>
      <c r="D46" s="73" t="s">
        <v>51</v>
      </c>
      <c r="E46" s="72">
        <v>55</v>
      </c>
      <c r="F46" s="74"/>
      <c r="G46" s="72"/>
      <c r="H46" s="74">
        <v>0.80600000000000005</v>
      </c>
      <c r="I46" s="72">
        <v>1</v>
      </c>
      <c r="J46" s="74"/>
      <c r="K46" s="72"/>
      <c r="L46" s="74"/>
      <c r="M46" s="72"/>
      <c r="N46" s="74">
        <v>0.03</v>
      </c>
      <c r="O46" s="72">
        <v>1</v>
      </c>
      <c r="P46" s="74">
        <v>0.52500000000000002</v>
      </c>
      <c r="Q46" s="72">
        <v>1</v>
      </c>
      <c r="R46" s="74"/>
      <c r="S46" s="72"/>
      <c r="T46" s="74"/>
      <c r="U46" s="72"/>
      <c r="V46" s="74"/>
      <c r="W46" s="72"/>
      <c r="X46" s="74"/>
      <c r="Y46" s="72"/>
      <c r="Z46" s="74">
        <v>9.8000000000000004E-2</v>
      </c>
      <c r="AA46" s="72">
        <v>1</v>
      </c>
      <c r="AB46" s="74"/>
      <c r="AC46" s="72"/>
      <c r="AD46" s="74"/>
      <c r="AE46" s="72"/>
      <c r="AF46" s="74"/>
      <c r="AG46" s="72"/>
      <c r="AH46" s="74"/>
      <c r="AI46" s="72"/>
      <c r="AJ46" s="74"/>
      <c r="AK46" s="72"/>
      <c r="AL46" s="74"/>
      <c r="AM46" s="72"/>
      <c r="AN46" s="74"/>
      <c r="AO46" s="72"/>
      <c r="AP46" s="74"/>
      <c r="AQ46" s="72"/>
      <c r="AR46" s="75"/>
      <c r="AS46" s="72"/>
      <c r="AT46" s="72"/>
      <c r="AU46" s="72"/>
      <c r="AV46" s="74"/>
      <c r="AW46" s="74"/>
      <c r="AX46" s="74"/>
    </row>
    <row r="47" spans="1:50" x14ac:dyDescent="0.3">
      <c r="A47" s="72" t="s">
        <v>65</v>
      </c>
      <c r="B47" s="72" t="s">
        <v>57</v>
      </c>
      <c r="C47" s="72">
        <v>2015</v>
      </c>
      <c r="D47" s="73" t="s">
        <v>51</v>
      </c>
      <c r="E47" s="72" t="s">
        <v>66</v>
      </c>
      <c r="F47" s="74">
        <v>1</v>
      </c>
      <c r="G47" s="72">
        <v>1</v>
      </c>
      <c r="H47" s="74"/>
      <c r="I47" s="72"/>
      <c r="J47" s="74"/>
      <c r="K47" s="72"/>
      <c r="L47" s="74"/>
      <c r="M47" s="72"/>
      <c r="N47" s="74">
        <v>1.5</v>
      </c>
      <c r="O47" s="72">
        <v>1</v>
      </c>
      <c r="P47" s="74"/>
      <c r="Q47" s="72"/>
      <c r="R47" s="74"/>
      <c r="S47" s="72"/>
      <c r="T47" s="74"/>
      <c r="U47" s="72"/>
      <c r="V47" s="74"/>
      <c r="W47" s="72"/>
      <c r="X47" s="74"/>
      <c r="Y47" s="72"/>
      <c r="Z47" s="74">
        <v>0.01</v>
      </c>
      <c r="AA47" s="72">
        <v>1</v>
      </c>
      <c r="AB47" s="74"/>
      <c r="AC47" s="72"/>
      <c r="AD47" s="74"/>
      <c r="AE47" s="72"/>
      <c r="AF47" s="74"/>
      <c r="AG47" s="72"/>
      <c r="AH47" s="74"/>
      <c r="AI47" s="72"/>
      <c r="AJ47" s="74"/>
      <c r="AK47" s="72"/>
      <c r="AL47" s="74">
        <v>5.0000000000000001E-3</v>
      </c>
      <c r="AM47" s="72">
        <v>1</v>
      </c>
      <c r="AN47" s="74"/>
      <c r="AO47" s="72"/>
      <c r="AP47" s="74"/>
      <c r="AQ47" s="72"/>
      <c r="AR47" s="75"/>
      <c r="AS47" s="72"/>
      <c r="AT47" s="72"/>
      <c r="AU47" s="72"/>
      <c r="AV47" s="74"/>
      <c r="AW47" s="74"/>
      <c r="AX47" s="74"/>
    </row>
    <row r="48" spans="1:50" x14ac:dyDescent="0.3">
      <c r="A48" s="72" t="s">
        <v>49</v>
      </c>
      <c r="B48" s="72" t="s">
        <v>62</v>
      </c>
      <c r="C48" s="72">
        <v>2015</v>
      </c>
      <c r="D48" s="73" t="s">
        <v>51</v>
      </c>
      <c r="E48" s="72">
        <v>237</v>
      </c>
      <c r="F48" s="74"/>
      <c r="G48" s="72"/>
      <c r="H48" s="74"/>
      <c r="I48" s="72"/>
      <c r="J48" s="74"/>
      <c r="K48" s="72"/>
      <c r="L48" s="74"/>
      <c r="M48" s="72"/>
      <c r="N48" s="74"/>
      <c r="O48" s="72"/>
      <c r="P48" s="74">
        <v>3.7250000000000001</v>
      </c>
      <c r="Q48" s="72">
        <v>1</v>
      </c>
      <c r="R48" s="74"/>
      <c r="S48" s="72"/>
      <c r="T48" s="74"/>
      <c r="U48" s="72"/>
      <c r="V48" s="74"/>
      <c r="W48" s="72"/>
      <c r="X48" s="74"/>
      <c r="Y48" s="72"/>
      <c r="Z48" s="74"/>
      <c r="AA48" s="72"/>
      <c r="AB48" s="74">
        <v>5.0000000000000001E-3</v>
      </c>
      <c r="AC48" s="72">
        <v>1</v>
      </c>
      <c r="AD48" s="74"/>
      <c r="AE48" s="72"/>
      <c r="AF48" s="74"/>
      <c r="AG48" s="72"/>
      <c r="AH48" s="74"/>
      <c r="AI48" s="72"/>
      <c r="AJ48" s="74"/>
      <c r="AK48" s="72"/>
      <c r="AL48" s="74"/>
      <c r="AM48" s="72"/>
      <c r="AN48" s="74"/>
      <c r="AO48" s="72"/>
      <c r="AP48" s="74"/>
      <c r="AQ48" s="72"/>
      <c r="AR48" s="75"/>
      <c r="AS48" s="72"/>
      <c r="AT48" s="72">
        <v>1</v>
      </c>
      <c r="AU48" s="72"/>
      <c r="AV48" s="74"/>
      <c r="AW48" s="74">
        <v>5.0000000000000001E-3</v>
      </c>
      <c r="AX48" s="74"/>
    </row>
    <row r="49" spans="1:50" x14ac:dyDescent="0.3">
      <c r="A49" s="72" t="s">
        <v>49</v>
      </c>
      <c r="B49" s="72" t="s">
        <v>62</v>
      </c>
      <c r="C49" s="72">
        <v>2015</v>
      </c>
      <c r="D49" s="73" t="s">
        <v>51</v>
      </c>
      <c r="E49" s="72">
        <v>231</v>
      </c>
      <c r="F49" s="74"/>
      <c r="G49" s="72"/>
      <c r="H49" s="74"/>
      <c r="I49" s="72"/>
      <c r="J49" s="74"/>
      <c r="K49" s="72"/>
      <c r="L49" s="74">
        <v>4.8949999999999996</v>
      </c>
      <c r="M49" s="72">
        <v>1</v>
      </c>
      <c r="N49" s="74">
        <v>0.05</v>
      </c>
      <c r="O49" s="72">
        <v>1</v>
      </c>
      <c r="P49" s="74"/>
      <c r="Q49" s="72"/>
      <c r="R49" s="74"/>
      <c r="S49" s="72"/>
      <c r="T49" s="74"/>
      <c r="U49" s="72"/>
      <c r="V49" s="74"/>
      <c r="W49" s="72"/>
      <c r="X49" s="74"/>
      <c r="Y49" s="72"/>
      <c r="Z49" s="74">
        <v>8.3000000000000004E-2</v>
      </c>
      <c r="AA49" s="72">
        <v>1</v>
      </c>
      <c r="AB49" s="74"/>
      <c r="AC49" s="72"/>
      <c r="AD49" s="74"/>
      <c r="AE49" s="72"/>
      <c r="AF49" s="74"/>
      <c r="AG49" s="72"/>
      <c r="AH49" s="74"/>
      <c r="AI49" s="72"/>
      <c r="AJ49" s="74"/>
      <c r="AK49" s="72"/>
      <c r="AL49" s="74"/>
      <c r="AM49" s="72"/>
      <c r="AN49" s="74"/>
      <c r="AO49" s="72"/>
      <c r="AP49" s="74"/>
      <c r="AQ49" s="72"/>
      <c r="AR49" s="75"/>
      <c r="AS49" s="72"/>
      <c r="AT49" s="72"/>
      <c r="AU49" s="72"/>
      <c r="AV49" s="74"/>
      <c r="AW49" s="74"/>
      <c r="AX49" s="74"/>
    </row>
    <row r="50" spans="1:50" x14ac:dyDescent="0.3">
      <c r="A50" s="72" t="s">
        <v>49</v>
      </c>
      <c r="B50" s="72" t="s">
        <v>61</v>
      </c>
      <c r="C50" s="72">
        <v>2015</v>
      </c>
      <c r="D50" s="73" t="s">
        <v>51</v>
      </c>
      <c r="E50" s="72">
        <v>245</v>
      </c>
      <c r="F50" s="74"/>
      <c r="G50" s="72"/>
      <c r="H50" s="74"/>
      <c r="I50" s="72"/>
      <c r="J50" s="74"/>
      <c r="K50" s="72"/>
      <c r="L50" s="74">
        <v>2.0510000000000002</v>
      </c>
      <c r="M50" s="72">
        <v>1</v>
      </c>
      <c r="N50" s="74">
        <v>7.2999999999999995E-2</v>
      </c>
      <c r="O50" s="72">
        <v>1</v>
      </c>
      <c r="P50" s="74">
        <v>1.125</v>
      </c>
      <c r="Q50" s="72">
        <v>1</v>
      </c>
      <c r="R50" s="74"/>
      <c r="S50" s="72"/>
      <c r="T50" s="74"/>
      <c r="U50" s="72"/>
      <c r="V50" s="74"/>
      <c r="W50" s="72"/>
      <c r="X50" s="74"/>
      <c r="Y50" s="72"/>
      <c r="Z50" s="74"/>
      <c r="AA50" s="72"/>
      <c r="AB50" s="74"/>
      <c r="AC50" s="72"/>
      <c r="AD50" s="74"/>
      <c r="AE50" s="72"/>
      <c r="AF50" s="74"/>
      <c r="AG50" s="72"/>
      <c r="AH50" s="74"/>
      <c r="AI50" s="72"/>
      <c r="AJ50" s="74"/>
      <c r="AK50" s="72"/>
      <c r="AL50" s="74">
        <v>2E-3</v>
      </c>
      <c r="AM50" s="72">
        <v>1</v>
      </c>
      <c r="AN50" s="74"/>
      <c r="AO50" s="72"/>
      <c r="AP50" s="74"/>
      <c r="AQ50" s="72"/>
      <c r="AR50" s="75"/>
      <c r="AS50" s="72"/>
      <c r="AT50" s="72"/>
      <c r="AU50" s="72"/>
      <c r="AV50" s="74"/>
      <c r="AW50" s="74"/>
      <c r="AX50" s="74"/>
    </row>
    <row r="51" spans="1:50" x14ac:dyDescent="0.3">
      <c r="A51" s="72" t="s">
        <v>49</v>
      </c>
      <c r="B51" s="72" t="s">
        <v>63</v>
      </c>
      <c r="C51" s="72">
        <v>2015</v>
      </c>
      <c r="D51" s="73" t="s">
        <v>51</v>
      </c>
      <c r="E51" s="72">
        <v>223</v>
      </c>
      <c r="F51" s="74"/>
      <c r="G51" s="72"/>
      <c r="H51" s="74"/>
      <c r="I51" s="72"/>
      <c r="J51" s="74"/>
      <c r="K51" s="72"/>
      <c r="L51" s="74"/>
      <c r="M51" s="72"/>
      <c r="N51" s="74"/>
      <c r="O51" s="72"/>
      <c r="P51" s="74">
        <v>5.0330000000000004</v>
      </c>
      <c r="Q51" s="72">
        <v>1</v>
      </c>
      <c r="R51" s="74"/>
      <c r="S51" s="72"/>
      <c r="T51" s="74"/>
      <c r="U51" s="72"/>
      <c r="V51" s="74"/>
      <c r="W51" s="72"/>
      <c r="X51" s="74"/>
      <c r="Y51" s="72"/>
      <c r="Z51" s="74"/>
      <c r="AA51" s="72"/>
      <c r="AB51" s="74">
        <v>4.4999999999999998E-2</v>
      </c>
      <c r="AC51" s="72">
        <v>8</v>
      </c>
      <c r="AD51" s="74"/>
      <c r="AE51" s="72"/>
      <c r="AF51" s="74"/>
      <c r="AG51" s="72"/>
      <c r="AH51" s="74"/>
      <c r="AI51" s="72"/>
      <c r="AJ51" s="74"/>
      <c r="AK51" s="72"/>
      <c r="AL51" s="74"/>
      <c r="AM51" s="72"/>
      <c r="AN51" s="74"/>
      <c r="AO51" s="72"/>
      <c r="AP51" s="74"/>
      <c r="AQ51" s="72"/>
      <c r="AR51" s="75"/>
      <c r="AS51" s="72"/>
      <c r="AT51" s="72">
        <v>8</v>
      </c>
      <c r="AU51" s="72"/>
      <c r="AV51" s="74"/>
      <c r="AW51" s="74">
        <v>4.4999999999999998E-2</v>
      </c>
      <c r="AX51" s="74"/>
    </row>
    <row r="52" spans="1:50" x14ac:dyDescent="0.3">
      <c r="A52" s="72" t="s">
        <v>49</v>
      </c>
      <c r="B52" s="72" t="s">
        <v>63</v>
      </c>
      <c r="C52" s="72">
        <v>2015</v>
      </c>
      <c r="D52" s="73" t="s">
        <v>51</v>
      </c>
      <c r="E52" s="72">
        <v>214</v>
      </c>
      <c r="F52" s="74"/>
      <c r="G52" s="72"/>
      <c r="H52" s="74"/>
      <c r="I52" s="72"/>
      <c r="J52" s="74"/>
      <c r="K52" s="72"/>
      <c r="L52" s="74">
        <v>0.92700000000000005</v>
      </c>
      <c r="M52" s="72">
        <v>1</v>
      </c>
      <c r="N52" s="74">
        <v>0.65</v>
      </c>
      <c r="O52" s="72">
        <v>1</v>
      </c>
      <c r="P52" s="74"/>
      <c r="Q52" s="72"/>
      <c r="R52" s="74"/>
      <c r="S52" s="72"/>
      <c r="T52" s="74"/>
      <c r="U52" s="72"/>
      <c r="V52" s="74"/>
      <c r="W52" s="72"/>
      <c r="X52" s="74"/>
      <c r="Y52" s="72"/>
      <c r="Z52" s="74"/>
      <c r="AA52" s="72"/>
      <c r="AB52" s="74"/>
      <c r="AC52" s="72"/>
      <c r="AD52" s="74">
        <v>2.5000000000000001E-2</v>
      </c>
      <c r="AE52" s="72">
        <v>1</v>
      </c>
      <c r="AF52" s="74"/>
      <c r="AG52" s="72"/>
      <c r="AH52" s="74"/>
      <c r="AI52" s="72"/>
      <c r="AJ52" s="74"/>
      <c r="AK52" s="72"/>
      <c r="AL52" s="74"/>
      <c r="AM52" s="72"/>
      <c r="AN52" s="74"/>
      <c r="AO52" s="72"/>
      <c r="AP52" s="74"/>
      <c r="AQ52" s="72"/>
      <c r="AR52" s="75"/>
      <c r="AS52" s="72"/>
      <c r="AT52" s="72"/>
      <c r="AU52" s="72"/>
      <c r="AV52" s="74"/>
      <c r="AW52" s="74"/>
      <c r="AX52" s="74"/>
    </row>
    <row r="53" spans="1:50" x14ac:dyDescent="0.3">
      <c r="A53" s="72" t="s">
        <v>49</v>
      </c>
      <c r="B53" s="72" t="s">
        <v>63</v>
      </c>
      <c r="C53" s="72">
        <v>2015</v>
      </c>
      <c r="D53" s="73" t="s">
        <v>51</v>
      </c>
      <c r="E53" s="72">
        <v>226</v>
      </c>
      <c r="F53" s="74"/>
      <c r="G53" s="72"/>
      <c r="H53" s="74"/>
      <c r="I53" s="72"/>
      <c r="J53" s="74"/>
      <c r="K53" s="72"/>
      <c r="L53" s="74">
        <v>2.6749999999999998</v>
      </c>
      <c r="M53" s="72">
        <v>1</v>
      </c>
      <c r="N53" s="74">
        <v>0.14000000000000001</v>
      </c>
      <c r="O53" s="72">
        <v>1</v>
      </c>
      <c r="P53" s="74">
        <v>2.5000000000000001E-2</v>
      </c>
      <c r="Q53" s="72">
        <v>1</v>
      </c>
      <c r="R53" s="74"/>
      <c r="S53" s="72"/>
      <c r="T53" s="74"/>
      <c r="U53" s="72"/>
      <c r="V53" s="74"/>
      <c r="W53" s="72"/>
      <c r="X53" s="74"/>
      <c r="Y53" s="72"/>
      <c r="Z53" s="74"/>
      <c r="AA53" s="72"/>
      <c r="AB53" s="74"/>
      <c r="AC53" s="72"/>
      <c r="AD53" s="74">
        <v>0.02</v>
      </c>
      <c r="AE53" s="72">
        <v>2</v>
      </c>
      <c r="AF53" s="74"/>
      <c r="AG53" s="72"/>
      <c r="AH53" s="74"/>
      <c r="AI53" s="72"/>
      <c r="AJ53" s="74"/>
      <c r="AK53" s="72"/>
      <c r="AL53" s="74"/>
      <c r="AM53" s="72"/>
      <c r="AN53" s="74"/>
      <c r="AO53" s="72"/>
      <c r="AP53" s="74"/>
      <c r="AQ53" s="72"/>
      <c r="AR53" s="75"/>
      <c r="AS53" s="72"/>
      <c r="AT53" s="72"/>
      <c r="AU53" s="72"/>
      <c r="AV53" s="74"/>
      <c r="AW53" s="74"/>
      <c r="AX53" s="74"/>
    </row>
    <row r="54" spans="1:50" x14ac:dyDescent="0.3">
      <c r="A54" s="72" t="s">
        <v>49</v>
      </c>
      <c r="B54" s="72" t="s">
        <v>61</v>
      </c>
      <c r="C54" s="72">
        <v>2015</v>
      </c>
      <c r="D54" s="73" t="s">
        <v>51</v>
      </c>
      <c r="E54" s="72">
        <v>252</v>
      </c>
      <c r="F54" s="74"/>
      <c r="G54" s="72"/>
      <c r="H54" s="74"/>
      <c r="I54" s="72"/>
      <c r="J54" s="74"/>
      <c r="K54" s="72"/>
      <c r="L54" s="74">
        <v>0.8</v>
      </c>
      <c r="M54" s="72">
        <v>1</v>
      </c>
      <c r="N54" s="74">
        <v>9.0999999999999998E-2</v>
      </c>
      <c r="O54" s="72">
        <v>1</v>
      </c>
      <c r="P54" s="74">
        <v>0.72499999999999998</v>
      </c>
      <c r="Q54" s="72">
        <v>1</v>
      </c>
      <c r="R54" s="74"/>
      <c r="S54" s="72"/>
      <c r="T54" s="74"/>
      <c r="U54" s="72"/>
      <c r="V54" s="74"/>
      <c r="W54" s="72"/>
      <c r="X54" s="74"/>
      <c r="Y54" s="72"/>
      <c r="Z54" s="74"/>
      <c r="AA54" s="72"/>
      <c r="AB54" s="74"/>
      <c r="AC54" s="72"/>
      <c r="AD54" s="74">
        <v>5.2999999999999999E-2</v>
      </c>
      <c r="AE54" s="72">
        <v>1</v>
      </c>
      <c r="AF54" s="74"/>
      <c r="AG54" s="72"/>
      <c r="AH54" s="74"/>
      <c r="AI54" s="72"/>
      <c r="AJ54" s="74"/>
      <c r="AK54" s="72"/>
      <c r="AL54" s="74"/>
      <c r="AM54" s="72"/>
      <c r="AN54" s="74"/>
      <c r="AO54" s="72"/>
      <c r="AP54" s="74"/>
      <c r="AQ54" s="72"/>
      <c r="AR54" s="75"/>
      <c r="AS54" s="72"/>
      <c r="AT54" s="72"/>
      <c r="AU54" s="72"/>
      <c r="AV54" s="74"/>
      <c r="AW54" s="74"/>
      <c r="AX54" s="74"/>
    </row>
    <row r="55" spans="1:50" x14ac:dyDescent="0.3">
      <c r="A55" s="72" t="s">
        <v>67</v>
      </c>
      <c r="B55" s="72" t="s">
        <v>61</v>
      </c>
      <c r="C55" s="72">
        <v>2015</v>
      </c>
      <c r="D55" s="73" t="s">
        <v>51</v>
      </c>
      <c r="E55" s="72" t="s">
        <v>68</v>
      </c>
      <c r="F55" s="74"/>
      <c r="G55" s="72"/>
      <c r="H55" s="74"/>
      <c r="I55" s="72"/>
      <c r="J55" s="74"/>
      <c r="K55" s="72"/>
      <c r="L55" s="74"/>
      <c r="M55" s="72"/>
      <c r="N55" s="74"/>
      <c r="O55" s="72"/>
      <c r="P55" s="74">
        <v>1.6</v>
      </c>
      <c r="Q55" s="72">
        <v>1</v>
      </c>
      <c r="R55" s="74"/>
      <c r="S55" s="72"/>
      <c r="T55" s="74"/>
      <c r="U55" s="72"/>
      <c r="V55" s="74"/>
      <c r="W55" s="72"/>
      <c r="X55" s="74"/>
      <c r="Y55" s="72"/>
      <c r="Z55" s="74">
        <v>5.0000000000000001E-3</v>
      </c>
      <c r="AA55" s="72">
        <v>1</v>
      </c>
      <c r="AB55" s="74"/>
      <c r="AC55" s="72"/>
      <c r="AD55" s="74"/>
      <c r="AE55" s="72"/>
      <c r="AF55" s="74"/>
      <c r="AG55" s="72"/>
      <c r="AH55" s="74"/>
      <c r="AI55" s="72"/>
      <c r="AJ55" s="74"/>
      <c r="AK55" s="72"/>
      <c r="AL55" s="74"/>
      <c r="AM55" s="72"/>
      <c r="AN55" s="74"/>
      <c r="AO55" s="72"/>
      <c r="AP55" s="74"/>
      <c r="AQ55" s="72"/>
      <c r="AR55" s="75"/>
      <c r="AS55" s="72"/>
      <c r="AT55" s="72"/>
      <c r="AU55" s="72"/>
      <c r="AV55" s="74"/>
      <c r="AW55" s="74"/>
      <c r="AX55" s="74"/>
    </row>
    <row r="56" spans="1:50" x14ac:dyDescent="0.3">
      <c r="A56" s="72" t="s">
        <v>49</v>
      </c>
      <c r="B56" s="72" t="s">
        <v>62</v>
      </c>
      <c r="C56" s="72">
        <v>2015</v>
      </c>
      <c r="D56" s="73" t="s">
        <v>51</v>
      </c>
      <c r="E56" s="72">
        <v>230</v>
      </c>
      <c r="F56" s="74">
        <v>3.1230000000000002</v>
      </c>
      <c r="G56" s="72">
        <v>1</v>
      </c>
      <c r="H56" s="74"/>
      <c r="I56" s="72"/>
      <c r="J56" s="74"/>
      <c r="K56" s="72"/>
      <c r="L56" s="74"/>
      <c r="M56" s="72"/>
      <c r="N56" s="74">
        <v>0.38</v>
      </c>
      <c r="O56" s="72">
        <v>2</v>
      </c>
      <c r="P56" s="74"/>
      <c r="Q56" s="72"/>
      <c r="R56" s="74"/>
      <c r="S56" s="72"/>
      <c r="T56" s="74"/>
      <c r="U56" s="72"/>
      <c r="V56" s="74"/>
      <c r="W56" s="72"/>
      <c r="X56" s="74"/>
      <c r="Y56" s="72"/>
      <c r="Z56" s="74"/>
      <c r="AA56" s="72"/>
      <c r="AB56" s="74"/>
      <c r="AC56" s="72"/>
      <c r="AD56" s="74"/>
      <c r="AE56" s="72"/>
      <c r="AF56" s="74"/>
      <c r="AG56" s="72"/>
      <c r="AH56" s="74"/>
      <c r="AI56" s="72"/>
      <c r="AJ56" s="74"/>
      <c r="AK56" s="72"/>
      <c r="AL56" s="74"/>
      <c r="AM56" s="72"/>
      <c r="AN56" s="74"/>
      <c r="AO56" s="72"/>
      <c r="AP56" s="74"/>
      <c r="AQ56" s="72"/>
      <c r="AR56" s="75"/>
      <c r="AS56" s="72"/>
      <c r="AT56" s="72"/>
      <c r="AU56" s="72"/>
      <c r="AV56" s="74"/>
      <c r="AW56" s="74"/>
      <c r="AX56" s="74"/>
    </row>
    <row r="57" spans="1:50" x14ac:dyDescent="0.3">
      <c r="A57" s="72" t="s">
        <v>49</v>
      </c>
      <c r="B57" s="72" t="s">
        <v>61</v>
      </c>
      <c r="C57" s="72">
        <v>2015</v>
      </c>
      <c r="D57" s="73" t="s">
        <v>51</v>
      </c>
      <c r="E57" s="72">
        <v>248</v>
      </c>
      <c r="F57" s="74"/>
      <c r="G57" s="72"/>
      <c r="H57" s="74">
        <v>1.1539999999999999</v>
      </c>
      <c r="I57" s="72">
        <v>1</v>
      </c>
      <c r="J57" s="74"/>
      <c r="K57" s="72"/>
      <c r="L57" s="74"/>
      <c r="M57" s="72"/>
      <c r="N57" s="74">
        <v>4.4999999999999998E-2</v>
      </c>
      <c r="O57" s="72">
        <v>1</v>
      </c>
      <c r="P57" s="74"/>
      <c r="Q57" s="72"/>
      <c r="R57" s="74"/>
      <c r="S57" s="72"/>
      <c r="T57" s="74"/>
      <c r="U57" s="72"/>
      <c r="V57" s="74"/>
      <c r="W57" s="72"/>
      <c r="X57" s="74"/>
      <c r="Y57" s="72"/>
      <c r="Z57" s="74"/>
      <c r="AA57" s="72"/>
      <c r="AB57" s="74"/>
      <c r="AC57" s="72"/>
      <c r="AD57" s="74">
        <v>2E-3</v>
      </c>
      <c r="AE57" s="72">
        <v>1</v>
      </c>
      <c r="AF57" s="74"/>
      <c r="AG57" s="72"/>
      <c r="AH57" s="74"/>
      <c r="AI57" s="72"/>
      <c r="AJ57" s="74"/>
      <c r="AK57" s="72"/>
      <c r="AL57" s="74">
        <v>7.0000000000000001E-3</v>
      </c>
      <c r="AM57" s="72">
        <v>2</v>
      </c>
      <c r="AN57" s="74"/>
      <c r="AO57" s="72"/>
      <c r="AP57" s="74"/>
      <c r="AQ57" s="72"/>
      <c r="AR57" s="75"/>
      <c r="AS57" s="72"/>
      <c r="AT57" s="72"/>
      <c r="AU57" s="72"/>
      <c r="AV57" s="74"/>
      <c r="AW57" s="74"/>
      <c r="AX57" s="74"/>
    </row>
    <row r="58" spans="1:50" x14ac:dyDescent="0.3">
      <c r="A58" s="72" t="s">
        <v>49</v>
      </c>
      <c r="B58" s="72" t="s">
        <v>62</v>
      </c>
      <c r="C58" s="72">
        <v>2015</v>
      </c>
      <c r="D58" s="73" t="s">
        <v>51</v>
      </c>
      <c r="E58" s="72">
        <v>233</v>
      </c>
      <c r="F58" s="74"/>
      <c r="G58" s="72"/>
      <c r="H58" s="74"/>
      <c r="I58" s="72"/>
      <c r="J58" s="74"/>
      <c r="K58" s="72"/>
      <c r="L58" s="74"/>
      <c r="M58" s="72"/>
      <c r="N58" s="74">
        <v>0.2</v>
      </c>
      <c r="O58" s="72">
        <v>1</v>
      </c>
      <c r="P58" s="74">
        <v>2.6269999999999998</v>
      </c>
      <c r="Q58" s="72">
        <v>1</v>
      </c>
      <c r="R58" s="74"/>
      <c r="S58" s="72"/>
      <c r="T58" s="74"/>
      <c r="U58" s="72"/>
      <c r="V58" s="74"/>
      <c r="W58" s="72"/>
      <c r="X58" s="74"/>
      <c r="Y58" s="72"/>
      <c r="Z58" s="74"/>
      <c r="AA58" s="72"/>
      <c r="AB58" s="74"/>
      <c r="AC58" s="72"/>
      <c r="AD58" s="74"/>
      <c r="AE58" s="72"/>
      <c r="AF58" s="74"/>
      <c r="AG58" s="72"/>
      <c r="AH58" s="74"/>
      <c r="AI58" s="72"/>
      <c r="AJ58" s="74"/>
      <c r="AK58" s="72"/>
      <c r="AL58" s="74"/>
      <c r="AM58" s="72"/>
      <c r="AN58" s="74"/>
      <c r="AO58" s="72"/>
      <c r="AP58" s="74"/>
      <c r="AQ58" s="72"/>
      <c r="AR58" s="75"/>
      <c r="AS58" s="72"/>
      <c r="AT58" s="72"/>
      <c r="AU58" s="72"/>
      <c r="AV58" s="74"/>
      <c r="AW58" s="74"/>
      <c r="AX58" s="74"/>
    </row>
    <row r="59" spans="1:50" x14ac:dyDescent="0.3">
      <c r="A59" s="72" t="s">
        <v>49</v>
      </c>
      <c r="B59" s="72" t="s">
        <v>63</v>
      </c>
      <c r="C59" s="72">
        <v>2015</v>
      </c>
      <c r="D59" s="73" t="s">
        <v>51</v>
      </c>
      <c r="E59" s="72">
        <v>215</v>
      </c>
      <c r="F59" s="74"/>
      <c r="G59" s="72"/>
      <c r="H59" s="74"/>
      <c r="I59" s="72"/>
      <c r="J59" s="74"/>
      <c r="K59" s="72"/>
      <c r="L59" s="74">
        <v>3.12</v>
      </c>
      <c r="M59" s="72">
        <v>1</v>
      </c>
      <c r="N59" s="74"/>
      <c r="O59" s="72"/>
      <c r="P59" s="74"/>
      <c r="Q59" s="72"/>
      <c r="R59" s="74"/>
      <c r="S59" s="72"/>
      <c r="T59" s="74"/>
      <c r="U59" s="72"/>
      <c r="V59" s="74"/>
      <c r="W59" s="72"/>
      <c r="X59" s="74"/>
      <c r="Y59" s="72"/>
      <c r="Z59" s="74"/>
      <c r="AA59" s="72"/>
      <c r="AB59" s="74"/>
      <c r="AC59" s="72"/>
      <c r="AD59" s="74"/>
      <c r="AE59" s="72"/>
      <c r="AF59" s="74"/>
      <c r="AG59" s="72"/>
      <c r="AH59" s="74"/>
      <c r="AI59" s="72"/>
      <c r="AJ59" s="74"/>
      <c r="AK59" s="72"/>
      <c r="AL59" s="74"/>
      <c r="AM59" s="72"/>
      <c r="AN59" s="74"/>
      <c r="AO59" s="72"/>
      <c r="AP59" s="74">
        <v>0.02</v>
      </c>
      <c r="AQ59" s="72">
        <v>1</v>
      </c>
      <c r="AR59" s="75"/>
      <c r="AS59" s="72"/>
      <c r="AT59" s="72"/>
      <c r="AU59" s="72"/>
      <c r="AV59" s="74"/>
      <c r="AW59" s="74"/>
      <c r="AX59" s="74"/>
    </row>
    <row r="60" spans="1:50" x14ac:dyDescent="0.3">
      <c r="A60" s="72" t="s">
        <v>49</v>
      </c>
      <c r="B60" s="72" t="s">
        <v>61</v>
      </c>
      <c r="C60" s="72">
        <v>2015</v>
      </c>
      <c r="D60" s="73" t="s">
        <v>51</v>
      </c>
      <c r="E60" s="72">
        <v>249</v>
      </c>
      <c r="F60" s="74"/>
      <c r="G60" s="72"/>
      <c r="H60" s="74"/>
      <c r="I60" s="72"/>
      <c r="J60" s="74"/>
      <c r="K60" s="72"/>
      <c r="L60" s="74"/>
      <c r="M60" s="72"/>
      <c r="N60" s="74">
        <v>8.4000000000000005E-2</v>
      </c>
      <c r="O60" s="72">
        <v>1</v>
      </c>
      <c r="P60" s="74">
        <v>1.26</v>
      </c>
      <c r="Q60" s="72">
        <v>1</v>
      </c>
      <c r="R60" s="74"/>
      <c r="S60" s="72"/>
      <c r="T60" s="74"/>
      <c r="U60" s="72"/>
      <c r="V60" s="74"/>
      <c r="W60" s="72"/>
      <c r="X60" s="74"/>
      <c r="Y60" s="72"/>
      <c r="Z60" s="74"/>
      <c r="AA60" s="72"/>
      <c r="AB60" s="74"/>
      <c r="AC60" s="72"/>
      <c r="AD60" s="74"/>
      <c r="AE60" s="72"/>
      <c r="AF60" s="74"/>
      <c r="AG60" s="72"/>
      <c r="AH60" s="74"/>
      <c r="AI60" s="72"/>
      <c r="AJ60" s="74"/>
      <c r="AK60" s="72"/>
      <c r="AL60" s="74"/>
      <c r="AM60" s="72"/>
      <c r="AN60" s="74"/>
      <c r="AO60" s="72"/>
      <c r="AP60" s="74"/>
      <c r="AQ60" s="72"/>
      <c r="AR60" s="75"/>
      <c r="AS60" s="72"/>
      <c r="AT60" s="72"/>
      <c r="AU60" s="72"/>
      <c r="AV60" s="74"/>
      <c r="AW60" s="74"/>
      <c r="AX60" s="74"/>
    </row>
    <row r="61" spans="1:50" x14ac:dyDescent="0.3">
      <c r="A61" s="72" t="s">
        <v>69</v>
      </c>
      <c r="B61" s="72" t="s">
        <v>61</v>
      </c>
      <c r="C61" s="72">
        <v>2015</v>
      </c>
      <c r="D61" s="73" t="s">
        <v>51</v>
      </c>
      <c r="E61" s="72" t="s">
        <v>70</v>
      </c>
      <c r="F61" s="74">
        <v>2.4</v>
      </c>
      <c r="G61" s="72">
        <v>1</v>
      </c>
      <c r="H61" s="74"/>
      <c r="I61" s="72"/>
      <c r="J61" s="74"/>
      <c r="K61" s="72"/>
      <c r="L61" s="74"/>
      <c r="M61" s="72"/>
      <c r="N61" s="74">
        <v>9.8000000000000004E-2</v>
      </c>
      <c r="O61" s="72">
        <v>1</v>
      </c>
      <c r="P61" s="74"/>
      <c r="Q61" s="72"/>
      <c r="R61" s="74"/>
      <c r="S61" s="72"/>
      <c r="T61" s="74"/>
      <c r="U61" s="72"/>
      <c r="V61" s="74"/>
      <c r="W61" s="72"/>
      <c r="X61" s="74"/>
      <c r="Y61" s="72"/>
      <c r="Z61" s="74"/>
      <c r="AA61" s="72"/>
      <c r="AB61" s="74">
        <v>1.7000000000000001E-2</v>
      </c>
      <c r="AC61" s="72">
        <v>3</v>
      </c>
      <c r="AD61" s="74">
        <v>0.05</v>
      </c>
      <c r="AE61" s="72">
        <v>1</v>
      </c>
      <c r="AF61" s="74"/>
      <c r="AG61" s="72"/>
      <c r="AH61" s="74"/>
      <c r="AI61" s="72"/>
      <c r="AJ61" s="74"/>
      <c r="AK61" s="72"/>
      <c r="AL61" s="74">
        <v>2.3E-2</v>
      </c>
      <c r="AM61" s="72">
        <v>8</v>
      </c>
      <c r="AN61" s="74"/>
      <c r="AO61" s="72"/>
      <c r="AP61" s="74"/>
      <c r="AQ61" s="72"/>
      <c r="AR61" s="75"/>
      <c r="AS61" s="72"/>
      <c r="AT61" s="72"/>
      <c r="AU61" s="72">
        <v>3</v>
      </c>
      <c r="AV61" s="74"/>
      <c r="AW61" s="74"/>
      <c r="AX61" s="74">
        <v>1.7000000000000001E-2</v>
      </c>
    </row>
    <row r="62" spans="1:50" x14ac:dyDescent="0.3">
      <c r="A62" s="72" t="s">
        <v>71</v>
      </c>
      <c r="B62" s="72" t="s">
        <v>61</v>
      </c>
      <c r="C62" s="72">
        <v>2015</v>
      </c>
      <c r="D62" s="73" t="s">
        <v>51</v>
      </c>
      <c r="E62" s="72" t="s">
        <v>72</v>
      </c>
      <c r="F62" s="74"/>
      <c r="G62" s="72"/>
      <c r="H62" s="74"/>
      <c r="I62" s="72"/>
      <c r="J62" s="74"/>
      <c r="K62" s="72"/>
      <c r="L62" s="74"/>
      <c r="M62" s="72"/>
      <c r="N62" s="74"/>
      <c r="O62" s="72"/>
      <c r="P62" s="74"/>
      <c r="Q62" s="72"/>
      <c r="R62" s="74"/>
      <c r="S62" s="72"/>
      <c r="T62" s="74"/>
      <c r="U62" s="72"/>
      <c r="V62" s="74"/>
      <c r="W62" s="72"/>
      <c r="X62" s="74">
        <v>4.0000000000000001E-3</v>
      </c>
      <c r="Y62" s="72">
        <v>1</v>
      </c>
      <c r="Z62" s="74">
        <v>7.4999999999999997E-2</v>
      </c>
      <c r="AA62" s="72">
        <v>1</v>
      </c>
      <c r="AB62" s="74"/>
      <c r="AC62" s="72"/>
      <c r="AD62" s="74"/>
      <c r="AE62" s="72"/>
      <c r="AF62" s="74"/>
      <c r="AG62" s="72"/>
      <c r="AH62" s="74"/>
      <c r="AI62" s="72"/>
      <c r="AJ62" s="74">
        <v>0.81</v>
      </c>
      <c r="AK62" s="72">
        <v>3</v>
      </c>
      <c r="AL62" s="74">
        <v>8.9999999999999993E-3</v>
      </c>
      <c r="AM62" s="72">
        <v>2</v>
      </c>
      <c r="AN62" s="74">
        <v>0.2</v>
      </c>
      <c r="AO62" s="72">
        <v>2</v>
      </c>
      <c r="AP62" s="74"/>
      <c r="AQ62" s="72"/>
      <c r="AR62" s="75"/>
      <c r="AS62" s="72"/>
      <c r="AT62" s="72"/>
      <c r="AU62" s="72"/>
      <c r="AV62" s="74"/>
      <c r="AW62" s="74"/>
      <c r="AX62" s="74"/>
    </row>
    <row r="63" spans="1:50" x14ac:dyDescent="0.3">
      <c r="A63" s="72" t="s">
        <v>67</v>
      </c>
      <c r="B63" s="72" t="s">
        <v>61</v>
      </c>
      <c r="C63" s="72">
        <v>2015</v>
      </c>
      <c r="D63" s="73" t="s">
        <v>51</v>
      </c>
      <c r="E63" s="72" t="s">
        <v>73</v>
      </c>
      <c r="F63" s="74">
        <v>2.2000000000000002</v>
      </c>
      <c r="G63" s="72">
        <v>1</v>
      </c>
      <c r="H63" s="74"/>
      <c r="I63" s="72"/>
      <c r="J63" s="74"/>
      <c r="K63" s="72"/>
      <c r="L63" s="74"/>
      <c r="M63" s="72"/>
      <c r="N63" s="74"/>
      <c r="O63" s="72"/>
      <c r="P63" s="74">
        <v>1.02</v>
      </c>
      <c r="Q63" s="72">
        <v>1</v>
      </c>
      <c r="R63" s="74">
        <v>1</v>
      </c>
      <c r="S63" s="72">
        <v>1</v>
      </c>
      <c r="T63" s="74"/>
      <c r="U63" s="72"/>
      <c r="V63" s="74"/>
      <c r="W63" s="72"/>
      <c r="X63" s="74"/>
      <c r="Y63" s="72"/>
      <c r="Z63" s="74"/>
      <c r="AA63" s="72"/>
      <c r="AB63" s="74">
        <v>5.1999999999999998E-2</v>
      </c>
      <c r="AC63" s="72">
        <v>7</v>
      </c>
      <c r="AD63" s="74"/>
      <c r="AE63" s="72"/>
      <c r="AF63" s="74"/>
      <c r="AG63" s="72"/>
      <c r="AH63" s="74"/>
      <c r="AI63" s="72"/>
      <c r="AJ63" s="74"/>
      <c r="AK63" s="72"/>
      <c r="AL63" s="74">
        <v>5.0000000000000001E-3</v>
      </c>
      <c r="AM63" s="72">
        <v>4</v>
      </c>
      <c r="AN63" s="74"/>
      <c r="AO63" s="72"/>
      <c r="AP63" s="74"/>
      <c r="AQ63" s="72"/>
      <c r="AR63" s="75"/>
      <c r="AS63" s="72"/>
      <c r="AT63" s="72">
        <v>7</v>
      </c>
      <c r="AU63" s="72"/>
      <c r="AV63" s="74"/>
      <c r="AW63" s="74">
        <v>5.1999999999999998E-2</v>
      </c>
      <c r="AX63" s="74"/>
    </row>
    <row r="64" spans="1:50" x14ac:dyDescent="0.3">
      <c r="A64" s="72" t="s">
        <v>49</v>
      </c>
      <c r="B64" s="72" t="s">
        <v>62</v>
      </c>
      <c r="C64" s="72">
        <v>2015</v>
      </c>
      <c r="D64" s="73" t="s">
        <v>51</v>
      </c>
      <c r="E64" s="72">
        <v>244</v>
      </c>
      <c r="F64" s="74"/>
      <c r="G64" s="72"/>
      <c r="H64" s="74"/>
      <c r="I64" s="72"/>
      <c r="J64" s="74"/>
      <c r="K64" s="72"/>
      <c r="L64" s="74"/>
      <c r="M64" s="72"/>
      <c r="N64" s="74"/>
      <c r="O64" s="72"/>
      <c r="P64" s="74">
        <v>2.5070000000000001</v>
      </c>
      <c r="Q64" s="72">
        <v>1</v>
      </c>
      <c r="R64" s="74"/>
      <c r="S64" s="72"/>
      <c r="T64" s="74"/>
      <c r="U64" s="72"/>
      <c r="V64" s="74"/>
      <c r="W64" s="72"/>
      <c r="X64" s="74"/>
      <c r="Y64" s="72"/>
      <c r="Z64" s="74"/>
      <c r="AA64" s="72"/>
      <c r="AB64" s="74"/>
      <c r="AC64" s="72"/>
      <c r="AD64" s="74"/>
      <c r="AE64" s="72"/>
      <c r="AF64" s="74"/>
      <c r="AG64" s="72"/>
      <c r="AH64" s="74"/>
      <c r="AI64" s="72"/>
      <c r="AJ64" s="74"/>
      <c r="AK64" s="72"/>
      <c r="AL64" s="74">
        <v>5.0000000000000001E-3</v>
      </c>
      <c r="AM64" s="72">
        <v>3</v>
      </c>
      <c r="AN64" s="74"/>
      <c r="AO64" s="72"/>
      <c r="AP64" s="74"/>
      <c r="AQ64" s="72"/>
      <c r="AR64" s="75"/>
      <c r="AS64" s="72"/>
      <c r="AT64" s="72"/>
      <c r="AU64" s="72"/>
      <c r="AV64" s="74"/>
      <c r="AW64" s="74"/>
      <c r="AX64" s="74"/>
    </row>
    <row r="65" spans="1:50" x14ac:dyDescent="0.3">
      <c r="A65" s="72" t="s">
        <v>49</v>
      </c>
      <c r="B65" s="72" t="s">
        <v>61</v>
      </c>
      <c r="C65" s="72">
        <v>2015</v>
      </c>
      <c r="D65" s="73" t="s">
        <v>51</v>
      </c>
      <c r="E65" s="72" t="s">
        <v>74</v>
      </c>
      <c r="F65" s="74"/>
      <c r="G65" s="72"/>
      <c r="H65" s="74">
        <v>1.63</v>
      </c>
      <c r="I65" s="72">
        <v>1</v>
      </c>
      <c r="J65" s="74"/>
      <c r="K65" s="72"/>
      <c r="L65" s="74"/>
      <c r="M65" s="72"/>
      <c r="N65" s="74">
        <v>0.125</v>
      </c>
      <c r="O65" s="72">
        <v>1</v>
      </c>
      <c r="P65" s="74"/>
      <c r="Q65" s="72"/>
      <c r="R65" s="74"/>
      <c r="S65" s="72"/>
      <c r="T65" s="74"/>
      <c r="U65" s="72"/>
      <c r="V65" s="74"/>
      <c r="W65" s="72"/>
      <c r="X65" s="74"/>
      <c r="Y65" s="72"/>
      <c r="Z65" s="74">
        <v>0.1</v>
      </c>
      <c r="AA65" s="72">
        <v>1</v>
      </c>
      <c r="AB65" s="74"/>
      <c r="AC65" s="72"/>
      <c r="AD65" s="74"/>
      <c r="AE65" s="72"/>
      <c r="AF65" s="74"/>
      <c r="AG65" s="72"/>
      <c r="AH65" s="74"/>
      <c r="AI65" s="72"/>
      <c r="AJ65" s="74"/>
      <c r="AK65" s="72"/>
      <c r="AL65" s="74">
        <v>1E-3</v>
      </c>
      <c r="AM65" s="72">
        <v>1</v>
      </c>
      <c r="AN65" s="74"/>
      <c r="AO65" s="72"/>
      <c r="AP65" s="74"/>
      <c r="AQ65" s="72"/>
      <c r="AR65" s="75"/>
      <c r="AS65" s="72"/>
      <c r="AT65" s="72"/>
      <c r="AU65" s="72"/>
      <c r="AV65" s="74"/>
      <c r="AW65" s="74"/>
      <c r="AX65" s="74"/>
    </row>
    <row r="66" spans="1:50" x14ac:dyDescent="0.3">
      <c r="A66" s="72" t="s">
        <v>71</v>
      </c>
      <c r="B66" s="72" t="s">
        <v>61</v>
      </c>
      <c r="C66" s="72">
        <v>2015</v>
      </c>
      <c r="D66" s="73" t="s">
        <v>51</v>
      </c>
      <c r="E66" s="72" t="s">
        <v>75</v>
      </c>
      <c r="F66" s="74"/>
      <c r="G66" s="72"/>
      <c r="H66" s="74"/>
      <c r="I66" s="72"/>
      <c r="J66" s="74"/>
      <c r="K66" s="72"/>
      <c r="L66" s="74"/>
      <c r="M66" s="72"/>
      <c r="N66" s="74"/>
      <c r="O66" s="72"/>
      <c r="P66" s="74">
        <v>1.5</v>
      </c>
      <c r="Q66" s="72">
        <v>1</v>
      </c>
      <c r="R66" s="74"/>
      <c r="S66" s="72"/>
      <c r="T66" s="74"/>
      <c r="U66" s="72"/>
      <c r="V66" s="74"/>
      <c r="W66" s="72"/>
      <c r="X66" s="74"/>
      <c r="Y66" s="72"/>
      <c r="Z66" s="74"/>
      <c r="AA66" s="72"/>
      <c r="AB66" s="74">
        <v>5.0000000000000001E-3</v>
      </c>
      <c r="AC66" s="72">
        <v>5</v>
      </c>
      <c r="AD66" s="74"/>
      <c r="AE66" s="72"/>
      <c r="AF66" s="74"/>
      <c r="AG66" s="72"/>
      <c r="AH66" s="74"/>
      <c r="AI66" s="72"/>
      <c r="AJ66" s="74"/>
      <c r="AK66" s="72"/>
      <c r="AL66" s="74"/>
      <c r="AM66" s="72"/>
      <c r="AN66" s="74"/>
      <c r="AO66" s="72"/>
      <c r="AP66" s="74"/>
      <c r="AQ66" s="72"/>
      <c r="AR66" s="75"/>
      <c r="AS66" s="72"/>
      <c r="AT66" s="72">
        <v>5</v>
      </c>
      <c r="AU66" s="72"/>
      <c r="AV66" s="74"/>
      <c r="AW66" s="74">
        <v>5.0000000000000001E-3</v>
      </c>
      <c r="AX66" s="74"/>
    </row>
    <row r="67" spans="1:50" x14ac:dyDescent="0.3">
      <c r="A67" s="72" t="s">
        <v>49</v>
      </c>
      <c r="B67" s="72" t="s">
        <v>63</v>
      </c>
      <c r="C67" s="72">
        <v>2015</v>
      </c>
      <c r="D67" s="73" t="s">
        <v>51</v>
      </c>
      <c r="E67" s="72">
        <v>228</v>
      </c>
      <c r="F67" s="74"/>
      <c r="G67" s="72"/>
      <c r="H67" s="74"/>
      <c r="I67" s="72"/>
      <c r="J67" s="74"/>
      <c r="K67" s="72"/>
      <c r="L67" s="74">
        <v>3.1</v>
      </c>
      <c r="M67" s="72">
        <v>1</v>
      </c>
      <c r="N67" s="74">
        <v>8.5000000000000006E-2</v>
      </c>
      <c r="O67" s="72">
        <v>1</v>
      </c>
      <c r="P67" s="74"/>
      <c r="Q67" s="72"/>
      <c r="R67" s="74"/>
      <c r="S67" s="72"/>
      <c r="T67" s="74"/>
      <c r="U67" s="72"/>
      <c r="V67" s="74"/>
      <c r="W67" s="72"/>
      <c r="X67" s="74"/>
      <c r="Y67" s="72"/>
      <c r="Z67" s="74"/>
      <c r="AA67" s="72"/>
      <c r="AB67" s="74"/>
      <c r="AC67" s="72"/>
      <c r="AD67" s="74"/>
      <c r="AE67" s="72"/>
      <c r="AF67" s="74"/>
      <c r="AG67" s="72"/>
      <c r="AH67" s="74"/>
      <c r="AI67" s="72"/>
      <c r="AJ67" s="74"/>
      <c r="AK67" s="72"/>
      <c r="AL67" s="74"/>
      <c r="AM67" s="72"/>
      <c r="AN67" s="74"/>
      <c r="AO67" s="72"/>
      <c r="AP67" s="74"/>
      <c r="AQ67" s="72"/>
      <c r="AR67" s="75"/>
      <c r="AS67" s="72"/>
      <c r="AT67" s="72"/>
      <c r="AU67" s="72"/>
      <c r="AV67" s="74"/>
      <c r="AW67" s="74"/>
      <c r="AX67" s="74"/>
    </row>
    <row r="68" spans="1:50" x14ac:dyDescent="0.3">
      <c r="A68" s="72" t="s">
        <v>49</v>
      </c>
      <c r="B68" s="72" t="s">
        <v>61</v>
      </c>
      <c r="C68" s="72">
        <v>2015</v>
      </c>
      <c r="D68" s="73" t="s">
        <v>51</v>
      </c>
      <c r="E68" s="72" t="s">
        <v>76</v>
      </c>
      <c r="F68" s="74"/>
      <c r="G68" s="72"/>
      <c r="H68" s="74"/>
      <c r="I68" s="72"/>
      <c r="J68" s="74"/>
      <c r="K68" s="72"/>
      <c r="L68" s="74">
        <v>2.105</v>
      </c>
      <c r="M68" s="72">
        <v>1</v>
      </c>
      <c r="N68" s="74">
        <v>0.39</v>
      </c>
      <c r="O68" s="72">
        <v>1</v>
      </c>
      <c r="P68" s="74">
        <v>1.5249999999999999</v>
      </c>
      <c r="Q68" s="72">
        <v>1</v>
      </c>
      <c r="R68" s="74"/>
      <c r="S68" s="72"/>
      <c r="T68" s="74"/>
      <c r="U68" s="72"/>
      <c r="V68" s="74"/>
      <c r="W68" s="72"/>
      <c r="X68" s="74"/>
      <c r="Y68" s="72"/>
      <c r="Z68" s="74"/>
      <c r="AA68" s="72"/>
      <c r="AB68" s="74">
        <v>3.5999999999999997E-2</v>
      </c>
      <c r="AC68" s="72">
        <v>6</v>
      </c>
      <c r="AD68" s="74">
        <v>2.5000000000000001E-2</v>
      </c>
      <c r="AE68" s="72">
        <v>1</v>
      </c>
      <c r="AF68" s="74"/>
      <c r="AG68" s="72"/>
      <c r="AH68" s="74"/>
      <c r="AI68" s="72"/>
      <c r="AJ68" s="74"/>
      <c r="AK68" s="72"/>
      <c r="AL68" s="74">
        <v>5.0000000000000001E-3</v>
      </c>
      <c r="AM68" s="72">
        <v>3</v>
      </c>
      <c r="AN68" s="74"/>
      <c r="AO68" s="72"/>
      <c r="AP68" s="74"/>
      <c r="AQ68" s="72"/>
      <c r="AR68" s="75"/>
      <c r="AS68" s="72"/>
      <c r="AT68" s="72">
        <v>6</v>
      </c>
      <c r="AU68" s="72"/>
      <c r="AV68" s="74"/>
      <c r="AW68" s="74">
        <v>3.5999999999999997E-2</v>
      </c>
      <c r="AX68" s="74"/>
    </row>
    <row r="69" spans="1:50" x14ac:dyDescent="0.3">
      <c r="A69" s="72" t="s">
        <v>67</v>
      </c>
      <c r="B69" s="72" t="s">
        <v>61</v>
      </c>
      <c r="C69" s="72">
        <v>2015</v>
      </c>
      <c r="D69" s="73" t="s">
        <v>51</v>
      </c>
      <c r="E69" s="72" t="s">
        <v>77</v>
      </c>
      <c r="F69" s="74"/>
      <c r="G69" s="72"/>
      <c r="H69" s="74"/>
      <c r="I69" s="72"/>
      <c r="J69" s="74"/>
      <c r="K69" s="72"/>
      <c r="L69" s="74"/>
      <c r="M69" s="72"/>
      <c r="N69" s="74"/>
      <c r="O69" s="72"/>
      <c r="P69" s="74">
        <v>3.1219999999999999</v>
      </c>
      <c r="Q69" s="72">
        <v>1</v>
      </c>
      <c r="R69" s="74">
        <v>0.93</v>
      </c>
      <c r="S69" s="72">
        <v>1</v>
      </c>
      <c r="T69" s="74"/>
      <c r="U69" s="72"/>
      <c r="V69" s="74"/>
      <c r="W69" s="72"/>
      <c r="X69" s="74"/>
      <c r="Y69" s="72"/>
      <c r="Z69" s="74"/>
      <c r="AA69" s="72"/>
      <c r="AB69" s="74"/>
      <c r="AC69" s="72"/>
      <c r="AD69" s="74">
        <v>0.625</v>
      </c>
      <c r="AE69" s="72">
        <v>2</v>
      </c>
      <c r="AF69" s="74"/>
      <c r="AG69" s="72"/>
      <c r="AH69" s="74"/>
      <c r="AI69" s="72"/>
      <c r="AJ69" s="74"/>
      <c r="AK69" s="72"/>
      <c r="AL69" s="74"/>
      <c r="AM69" s="72"/>
      <c r="AN69" s="74"/>
      <c r="AO69" s="72"/>
      <c r="AP69" s="74"/>
      <c r="AQ69" s="72"/>
      <c r="AR69" s="75"/>
      <c r="AS69" s="72"/>
      <c r="AT69" s="72"/>
      <c r="AU69" s="72"/>
      <c r="AV69" s="74"/>
      <c r="AW69" s="74"/>
      <c r="AX69" s="74"/>
    </row>
    <row r="70" spans="1:50" x14ac:dyDescent="0.3">
      <c r="A70" s="72" t="s">
        <v>67</v>
      </c>
      <c r="B70" s="72" t="s">
        <v>61</v>
      </c>
      <c r="C70" s="72">
        <v>2015</v>
      </c>
      <c r="D70" s="73" t="s">
        <v>51</v>
      </c>
      <c r="E70" s="72" t="s">
        <v>78</v>
      </c>
      <c r="F70" s="74"/>
      <c r="G70" s="72"/>
      <c r="H70" s="74"/>
      <c r="I70" s="72"/>
      <c r="J70" s="74"/>
      <c r="K70" s="72"/>
      <c r="L70" s="74"/>
      <c r="M70" s="72"/>
      <c r="N70" s="74"/>
      <c r="O70" s="72"/>
      <c r="P70" s="74"/>
      <c r="Q70" s="72"/>
      <c r="R70" s="74">
        <v>3.35</v>
      </c>
      <c r="S70" s="72">
        <v>1</v>
      </c>
      <c r="T70" s="74"/>
      <c r="U70" s="72"/>
      <c r="V70" s="74"/>
      <c r="W70" s="72"/>
      <c r="X70" s="74"/>
      <c r="Y70" s="72"/>
      <c r="Z70" s="74"/>
      <c r="AA70" s="72"/>
      <c r="AB70" s="74"/>
      <c r="AC70" s="72"/>
      <c r="AD70" s="74">
        <v>2.5000000000000001E-2</v>
      </c>
      <c r="AE70" s="72">
        <v>1</v>
      </c>
      <c r="AF70" s="74"/>
      <c r="AG70" s="72"/>
      <c r="AH70" s="74"/>
      <c r="AI70" s="72"/>
      <c r="AJ70" s="74"/>
      <c r="AK70" s="72"/>
      <c r="AL70" s="74"/>
      <c r="AM70" s="72"/>
      <c r="AN70" s="74"/>
      <c r="AO70" s="72"/>
      <c r="AP70" s="74"/>
      <c r="AQ70" s="72"/>
      <c r="AR70" s="75"/>
      <c r="AS70" s="72"/>
      <c r="AT70" s="72"/>
      <c r="AU70" s="72"/>
      <c r="AV70" s="74"/>
      <c r="AW70" s="74"/>
      <c r="AX70" s="74"/>
    </row>
    <row r="71" spans="1:50" x14ac:dyDescent="0.3">
      <c r="A71" s="72" t="s">
        <v>49</v>
      </c>
      <c r="B71" s="72" t="s">
        <v>63</v>
      </c>
      <c r="C71" s="72">
        <v>2015</v>
      </c>
      <c r="D71" s="73" t="s">
        <v>51</v>
      </c>
      <c r="E71" s="72">
        <v>217</v>
      </c>
      <c r="F71" s="74"/>
      <c r="G71" s="72"/>
      <c r="H71" s="74"/>
      <c r="I71" s="72"/>
      <c r="J71" s="74"/>
      <c r="K71" s="72"/>
      <c r="L71" s="74"/>
      <c r="M71" s="72"/>
      <c r="N71" s="74">
        <v>0.71599999999999997</v>
      </c>
      <c r="O71" s="72">
        <v>2</v>
      </c>
      <c r="P71" s="74">
        <v>0.92500000000000004</v>
      </c>
      <c r="Q71" s="72">
        <v>1</v>
      </c>
      <c r="R71" s="74">
        <v>0.11</v>
      </c>
      <c r="S71" s="72">
        <v>1</v>
      </c>
      <c r="T71" s="74"/>
      <c r="U71" s="72"/>
      <c r="V71" s="74"/>
      <c r="W71" s="72"/>
      <c r="X71" s="74"/>
      <c r="Y71" s="72"/>
      <c r="Z71" s="74"/>
      <c r="AA71" s="72"/>
      <c r="AB71" s="74"/>
      <c r="AC71" s="72"/>
      <c r="AD71" s="74"/>
      <c r="AE71" s="72"/>
      <c r="AF71" s="74"/>
      <c r="AG71" s="72"/>
      <c r="AH71" s="74"/>
      <c r="AI71" s="72"/>
      <c r="AJ71" s="74"/>
      <c r="AK71" s="72"/>
      <c r="AL71" s="74"/>
      <c r="AM71" s="72"/>
      <c r="AN71" s="74"/>
      <c r="AO71" s="72"/>
      <c r="AP71" s="74"/>
      <c r="AQ71" s="72"/>
      <c r="AR71" s="75"/>
      <c r="AS71" s="72"/>
      <c r="AT71" s="72"/>
      <c r="AU71" s="72"/>
      <c r="AV71" s="74"/>
      <c r="AW71" s="74"/>
      <c r="AX71" s="74"/>
    </row>
    <row r="72" spans="1:50" x14ac:dyDescent="0.3">
      <c r="A72" s="72" t="s">
        <v>79</v>
      </c>
      <c r="B72" s="72" t="s">
        <v>61</v>
      </c>
      <c r="C72" s="72">
        <v>2015</v>
      </c>
      <c r="D72" s="73" t="s">
        <v>51</v>
      </c>
      <c r="E72" s="72" t="s">
        <v>80</v>
      </c>
      <c r="F72" s="74"/>
      <c r="G72" s="72"/>
      <c r="H72" s="74">
        <v>2.1</v>
      </c>
      <c r="I72" s="72">
        <v>1</v>
      </c>
      <c r="J72" s="74"/>
      <c r="K72" s="72"/>
      <c r="L72" s="74"/>
      <c r="M72" s="72"/>
      <c r="N72" s="74"/>
      <c r="O72" s="72"/>
      <c r="P72" s="74"/>
      <c r="Q72" s="72"/>
      <c r="R72" s="74"/>
      <c r="S72" s="72"/>
      <c r="T72" s="74"/>
      <c r="U72" s="72"/>
      <c r="V72" s="74"/>
      <c r="W72" s="72"/>
      <c r="X72" s="74"/>
      <c r="Y72" s="72"/>
      <c r="Z72" s="74"/>
      <c r="AA72" s="72"/>
      <c r="AB72" s="74"/>
      <c r="AC72" s="72"/>
      <c r="AD72" s="74">
        <v>5.2999999999999999E-2</v>
      </c>
      <c r="AE72" s="72">
        <v>1</v>
      </c>
      <c r="AF72" s="74"/>
      <c r="AG72" s="72"/>
      <c r="AH72" s="74"/>
      <c r="AI72" s="72"/>
      <c r="AJ72" s="74"/>
      <c r="AK72" s="72"/>
      <c r="AL72" s="74"/>
      <c r="AM72" s="72"/>
      <c r="AN72" s="74"/>
      <c r="AO72" s="72"/>
      <c r="AP72" s="74"/>
      <c r="AQ72" s="72"/>
      <c r="AR72" s="75"/>
      <c r="AS72" s="72"/>
      <c r="AT72" s="72"/>
      <c r="AU72" s="72"/>
      <c r="AV72" s="74"/>
      <c r="AW72" s="74"/>
      <c r="AX72" s="74"/>
    </row>
    <row r="73" spans="1:50" x14ac:dyDescent="0.3">
      <c r="A73" s="72" t="s">
        <v>49</v>
      </c>
      <c r="B73" s="72" t="s">
        <v>61</v>
      </c>
      <c r="C73" s="72">
        <v>2015</v>
      </c>
      <c r="D73" s="73" t="s">
        <v>51</v>
      </c>
      <c r="E73" s="72" t="s">
        <v>81</v>
      </c>
      <c r="F73" s="74"/>
      <c r="G73" s="72"/>
      <c r="H73" s="74">
        <v>2.8</v>
      </c>
      <c r="I73" s="72">
        <v>1</v>
      </c>
      <c r="J73" s="74"/>
      <c r="K73" s="72"/>
      <c r="L73" s="74"/>
      <c r="M73" s="72"/>
      <c r="N73" s="74">
        <v>0.22500000000000001</v>
      </c>
      <c r="O73" s="72">
        <v>1</v>
      </c>
      <c r="P73" s="74"/>
      <c r="Q73" s="72"/>
      <c r="R73" s="74"/>
      <c r="S73" s="72"/>
      <c r="T73" s="74">
        <v>5.0000000000000001E-3</v>
      </c>
      <c r="U73" s="72">
        <v>1</v>
      </c>
      <c r="V73" s="74"/>
      <c r="W73" s="72"/>
      <c r="X73" s="74"/>
      <c r="Y73" s="72"/>
      <c r="Z73" s="74"/>
      <c r="AA73" s="72"/>
      <c r="AB73" s="74"/>
      <c r="AC73" s="72"/>
      <c r="AD73" s="74">
        <v>6.5000000000000002E-2</v>
      </c>
      <c r="AE73" s="72">
        <v>1</v>
      </c>
      <c r="AF73" s="74"/>
      <c r="AG73" s="72"/>
      <c r="AH73" s="74"/>
      <c r="AI73" s="72"/>
      <c r="AJ73" s="74"/>
      <c r="AK73" s="72"/>
      <c r="AL73" s="74">
        <v>5.0000000000000001E-3</v>
      </c>
      <c r="AM73" s="72">
        <v>2</v>
      </c>
      <c r="AN73" s="74"/>
      <c r="AO73" s="72"/>
      <c r="AP73" s="74"/>
      <c r="AQ73" s="72"/>
      <c r="AR73" s="75"/>
      <c r="AS73" s="72"/>
      <c r="AT73" s="72"/>
      <c r="AU73" s="72"/>
      <c r="AV73" s="74"/>
      <c r="AW73" s="74"/>
      <c r="AX73" s="74"/>
    </row>
    <row r="74" spans="1:50" x14ac:dyDescent="0.3">
      <c r="A74" s="72" t="s">
        <v>49</v>
      </c>
      <c r="B74" s="72" t="s">
        <v>82</v>
      </c>
      <c r="C74" s="72">
        <v>2015</v>
      </c>
      <c r="D74" s="73" t="s">
        <v>51</v>
      </c>
      <c r="E74" s="72">
        <v>352</v>
      </c>
      <c r="F74" s="74"/>
      <c r="G74" s="72"/>
      <c r="H74" s="74"/>
      <c r="I74" s="72"/>
      <c r="J74" s="74">
        <v>1.367</v>
      </c>
      <c r="K74" s="72">
        <v>1</v>
      </c>
      <c r="L74" s="74"/>
      <c r="M74" s="72"/>
      <c r="N74" s="74"/>
      <c r="O74" s="72"/>
      <c r="P74" s="74"/>
      <c r="Q74" s="72"/>
      <c r="R74" s="74"/>
      <c r="S74" s="72"/>
      <c r="T74" s="74"/>
      <c r="U74" s="72"/>
      <c r="V74" s="74"/>
      <c r="W74" s="72"/>
      <c r="X74" s="74"/>
      <c r="Y74" s="72"/>
      <c r="Z74" s="74"/>
      <c r="AA74" s="72"/>
      <c r="AB74" s="74">
        <v>1.4999999999999999E-2</v>
      </c>
      <c r="AC74" s="72">
        <v>1</v>
      </c>
      <c r="AD74" s="74">
        <v>1.7000000000000001E-2</v>
      </c>
      <c r="AE74" s="72">
        <v>1</v>
      </c>
      <c r="AF74" s="74"/>
      <c r="AG74" s="72"/>
      <c r="AH74" s="72">
        <v>5.0000000000000001E-4</v>
      </c>
      <c r="AI74" s="72">
        <v>1</v>
      </c>
      <c r="AJ74" s="74"/>
      <c r="AK74" s="72"/>
      <c r="AL74" s="74"/>
      <c r="AM74" s="72"/>
      <c r="AN74" s="74"/>
      <c r="AO74" s="72"/>
      <c r="AP74" s="74"/>
      <c r="AQ74" s="72"/>
      <c r="AR74" s="75"/>
      <c r="AS74" s="72">
        <v>1</v>
      </c>
      <c r="AT74" s="72"/>
      <c r="AU74" s="72"/>
      <c r="AV74" s="74">
        <v>1.4999999999999999E-2</v>
      </c>
      <c r="AW74" s="74"/>
      <c r="AX74" s="74"/>
    </row>
    <row r="75" spans="1:50" x14ac:dyDescent="0.3">
      <c r="A75" s="72" t="s">
        <v>49</v>
      </c>
      <c r="B75" s="72" t="s">
        <v>82</v>
      </c>
      <c r="C75" s="72">
        <v>2015</v>
      </c>
      <c r="D75" s="73" t="s">
        <v>51</v>
      </c>
      <c r="E75" s="72">
        <v>332</v>
      </c>
      <c r="F75" s="74"/>
      <c r="G75" s="72"/>
      <c r="H75" s="74"/>
      <c r="I75" s="72"/>
      <c r="J75" s="74">
        <v>3.0920000000000001</v>
      </c>
      <c r="K75" s="72">
        <v>1</v>
      </c>
      <c r="L75" s="74"/>
      <c r="M75" s="72"/>
      <c r="N75" s="74"/>
      <c r="O75" s="72"/>
      <c r="P75" s="74"/>
      <c r="Q75" s="72"/>
      <c r="R75" s="74"/>
      <c r="S75" s="72"/>
      <c r="T75" s="74"/>
      <c r="U75" s="72"/>
      <c r="V75" s="74"/>
      <c r="W75" s="72"/>
      <c r="X75" s="74"/>
      <c r="Y75" s="72"/>
      <c r="Z75" s="74">
        <v>1.2999999999999999E-2</v>
      </c>
      <c r="AA75" s="72">
        <v>1</v>
      </c>
      <c r="AB75" s="74"/>
      <c r="AC75" s="72"/>
      <c r="AD75" s="74"/>
      <c r="AE75" s="72"/>
      <c r="AF75" s="74"/>
      <c r="AG75" s="72"/>
      <c r="AH75" s="74"/>
      <c r="AI75" s="72"/>
      <c r="AJ75" s="74"/>
      <c r="AK75" s="72"/>
      <c r="AL75" s="74"/>
      <c r="AM75" s="72"/>
      <c r="AN75" s="74"/>
      <c r="AO75" s="72"/>
      <c r="AP75" s="74"/>
      <c r="AQ75" s="72"/>
      <c r="AR75" s="75"/>
      <c r="AS75" s="72"/>
      <c r="AT75" s="72"/>
      <c r="AU75" s="72"/>
      <c r="AV75" s="74"/>
      <c r="AW75" s="74"/>
      <c r="AX75" s="74"/>
    </row>
    <row r="76" spans="1:50" x14ac:dyDescent="0.3">
      <c r="A76" s="72" t="s">
        <v>49</v>
      </c>
      <c r="B76" s="72" t="s">
        <v>82</v>
      </c>
      <c r="C76" s="72">
        <v>2015</v>
      </c>
      <c r="D76" s="73" t="s">
        <v>51</v>
      </c>
      <c r="E76" s="72">
        <v>339</v>
      </c>
      <c r="F76" s="74"/>
      <c r="G76" s="72"/>
      <c r="H76" s="74"/>
      <c r="I76" s="72"/>
      <c r="J76" s="74">
        <v>2.7410000000000001</v>
      </c>
      <c r="K76" s="72">
        <v>1</v>
      </c>
      <c r="L76" s="74"/>
      <c r="M76" s="72"/>
      <c r="N76" s="74">
        <v>0.125</v>
      </c>
      <c r="O76" s="72">
        <v>1</v>
      </c>
      <c r="P76" s="74"/>
      <c r="Q76" s="72"/>
      <c r="R76" s="74"/>
      <c r="S76" s="72"/>
      <c r="T76" s="74"/>
      <c r="U76" s="72"/>
      <c r="V76" s="74"/>
      <c r="W76" s="72"/>
      <c r="X76" s="74"/>
      <c r="Y76" s="72"/>
      <c r="Z76" s="74">
        <v>7.4999999999999997E-2</v>
      </c>
      <c r="AA76" s="72">
        <v>1</v>
      </c>
      <c r="AB76" s="74"/>
      <c r="AC76" s="72"/>
      <c r="AD76" s="74"/>
      <c r="AE76" s="72"/>
      <c r="AF76" s="74"/>
      <c r="AG76" s="72"/>
      <c r="AH76" s="74"/>
      <c r="AI76" s="72"/>
      <c r="AJ76" s="74"/>
      <c r="AK76" s="72"/>
      <c r="AL76" s="74"/>
      <c r="AM76" s="72"/>
      <c r="AN76" s="74"/>
      <c r="AO76" s="72"/>
      <c r="AP76" s="74"/>
      <c r="AQ76" s="72"/>
      <c r="AR76" s="75"/>
      <c r="AS76" s="72"/>
      <c r="AT76" s="72"/>
      <c r="AU76" s="72"/>
      <c r="AV76" s="74"/>
      <c r="AW76" s="74"/>
      <c r="AX76" s="74"/>
    </row>
    <row r="77" spans="1:50" x14ac:dyDescent="0.3">
      <c r="A77" s="72" t="s">
        <v>49</v>
      </c>
      <c r="B77" s="72" t="s">
        <v>82</v>
      </c>
      <c r="C77" s="72">
        <v>2015</v>
      </c>
      <c r="D77" s="73" t="s">
        <v>51</v>
      </c>
      <c r="E77" s="72">
        <v>347</v>
      </c>
      <c r="F77" s="72"/>
      <c r="G77" s="72"/>
      <c r="H77" s="72"/>
      <c r="I77" s="72"/>
      <c r="J77" s="72">
        <v>2.032</v>
      </c>
      <c r="K77" s="72"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>
        <v>9.7000000000000003E-2</v>
      </c>
      <c r="AC77" s="72">
        <v>3</v>
      </c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S77" s="72">
        <v>3</v>
      </c>
      <c r="AT77" s="72"/>
      <c r="AU77" s="72"/>
      <c r="AV77" s="72">
        <v>9.7000000000000003E-2</v>
      </c>
      <c r="AW77" s="72"/>
      <c r="AX77" s="72"/>
    </row>
    <row r="78" spans="1:50" x14ac:dyDescent="0.3">
      <c r="A78" s="72" t="s">
        <v>49</v>
      </c>
      <c r="B78" s="72" t="s">
        <v>82</v>
      </c>
      <c r="C78" s="72">
        <v>2015</v>
      </c>
      <c r="D78" s="73" t="s">
        <v>51</v>
      </c>
      <c r="E78" s="72">
        <v>346</v>
      </c>
      <c r="F78" s="72"/>
      <c r="G78" s="72"/>
      <c r="H78" s="72"/>
      <c r="I78" s="72"/>
      <c r="J78" s="72">
        <v>2.0470000000000002</v>
      </c>
      <c r="K78" s="72"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>
        <v>0.35299999999999998</v>
      </c>
      <c r="AE78" s="72">
        <v>1</v>
      </c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S78" s="72"/>
      <c r="AT78" s="72"/>
      <c r="AU78" s="72"/>
      <c r="AV78" s="72"/>
      <c r="AW78" s="72"/>
      <c r="AX78" s="72"/>
    </row>
    <row r="79" spans="1:50" x14ac:dyDescent="0.3">
      <c r="A79" s="72" t="s">
        <v>49</v>
      </c>
      <c r="B79" s="72" t="s">
        <v>82</v>
      </c>
      <c r="C79" s="72">
        <v>2015</v>
      </c>
      <c r="D79" s="73" t="s">
        <v>51</v>
      </c>
      <c r="E79" s="72">
        <v>353</v>
      </c>
      <c r="F79" s="72"/>
      <c r="G79" s="72"/>
      <c r="H79" s="72"/>
      <c r="I79" s="72"/>
      <c r="J79" s="72"/>
      <c r="K79" s="72"/>
      <c r="L79" s="72">
        <v>3.355</v>
      </c>
      <c r="M79" s="72">
        <v>1</v>
      </c>
      <c r="N79" s="72">
        <v>0.48499999999999999</v>
      </c>
      <c r="O79" s="72">
        <v>3</v>
      </c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>
        <v>0.433</v>
      </c>
      <c r="AA79" s="72">
        <v>1</v>
      </c>
      <c r="AB79" s="72"/>
      <c r="AC79" s="72"/>
      <c r="AD79" s="74"/>
      <c r="AE79" s="72"/>
      <c r="AF79" s="72"/>
      <c r="AG79" s="72"/>
      <c r="AH79" s="72"/>
      <c r="AI79" s="72"/>
      <c r="AJ79" s="72"/>
      <c r="AK79" s="72"/>
      <c r="AL79" s="72">
        <v>9.5000000000000001E-2</v>
      </c>
      <c r="AM79" s="72">
        <v>9</v>
      </c>
      <c r="AN79" s="72"/>
      <c r="AO79" s="72"/>
      <c r="AP79" s="72"/>
      <c r="AQ79" s="72"/>
      <c r="AS79" s="72"/>
      <c r="AT79" s="72"/>
      <c r="AU79" s="78"/>
      <c r="AV79" s="72"/>
      <c r="AW79" s="72"/>
      <c r="AX79" s="72"/>
    </row>
    <row r="80" spans="1:50" x14ac:dyDescent="0.3">
      <c r="D80" s="79"/>
      <c r="AS80" s="80">
        <f t="shared" ref="AS80:AX80" si="0">SUM(AS2:AS79)</f>
        <v>70</v>
      </c>
      <c r="AT80" s="80">
        <f t="shared" si="0"/>
        <v>46</v>
      </c>
      <c r="AU80" s="80">
        <f t="shared" si="0"/>
        <v>3</v>
      </c>
      <c r="AV80" s="80">
        <f t="shared" si="0"/>
        <v>0.82599999999999996</v>
      </c>
      <c r="AW80" s="80">
        <f t="shared" si="0"/>
        <v>0.40499999999999997</v>
      </c>
      <c r="AX80" s="80">
        <f t="shared" si="0"/>
        <v>1.7000000000000001E-2</v>
      </c>
    </row>
    <row r="81" spans="4:4" x14ac:dyDescent="0.3">
      <c r="D81" s="79"/>
    </row>
    <row r="82" spans="4:4" x14ac:dyDescent="0.3">
      <c r="D82" s="7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81"/>
  <sheetViews>
    <sheetView showGridLines="0" zoomScale="50" zoomScaleNormal="50" workbookViewId="0">
      <pane ySplit="1" topLeftCell="A20" activePane="bottomLeft" state="frozen"/>
      <selection pane="bottomLeft" sqref="A1:T79"/>
    </sheetView>
  </sheetViews>
  <sheetFormatPr defaultColWidth="9.109375" defaultRowHeight="15.6" x14ac:dyDescent="0.3"/>
  <cols>
    <col min="1" max="2" width="11.5546875" style="77" customWidth="1"/>
    <col min="3" max="3" width="11.44140625" style="77" customWidth="1"/>
    <col min="4" max="4" width="10.6640625" style="77" customWidth="1"/>
    <col min="5" max="5" width="9.88671875" style="77" customWidth="1"/>
    <col min="6" max="6" width="11.33203125" style="77" bestFit="1" customWidth="1"/>
    <col min="7" max="7" width="10.109375" style="77" customWidth="1"/>
    <col min="8" max="8" width="10.44140625" style="77" customWidth="1"/>
    <col min="9" max="9" width="8.5546875" style="77" customWidth="1"/>
    <col min="10" max="10" width="9.88671875" style="77" customWidth="1"/>
    <col min="11" max="11" width="10.44140625" style="77" customWidth="1"/>
    <col min="12" max="12" width="10.88671875" style="77" customWidth="1"/>
    <col min="13" max="13" width="11.5546875" style="77" customWidth="1"/>
    <col min="14" max="14" width="7.5546875" style="77" customWidth="1"/>
    <col min="15" max="15" width="9.88671875" style="77" customWidth="1"/>
    <col min="16" max="16" width="10.44140625" style="77" customWidth="1"/>
    <col min="17" max="18" width="9.109375" style="76"/>
    <col min="19" max="19" width="8.33203125" style="76" customWidth="1"/>
    <col min="20" max="20" width="10.109375" style="76" customWidth="1"/>
    <col min="21" max="21" width="9.109375" style="76"/>
    <col min="22" max="22" width="10.44140625" style="76" customWidth="1"/>
    <col min="23" max="23" width="12.88671875" style="76" customWidth="1"/>
    <col min="24" max="25" width="9.109375" style="76"/>
    <col min="26" max="26" width="11.109375" style="76" customWidth="1"/>
    <col min="27" max="27" width="9.109375" style="76"/>
    <col min="28" max="28" width="14.33203125" style="76" customWidth="1"/>
    <col min="29" max="29" width="10.5546875" style="76" customWidth="1"/>
    <col min="30" max="30" width="13.5546875" style="76" customWidth="1"/>
    <col min="31" max="31" width="15.5546875" style="76" customWidth="1"/>
    <col min="32" max="32" width="12.6640625" style="76" customWidth="1"/>
    <col min="33" max="33" width="12.5546875" style="76" customWidth="1"/>
    <col min="34" max="35" width="9.109375" style="76"/>
    <col min="36" max="36" width="12.88671875" style="76" customWidth="1"/>
    <col min="37" max="41" width="9.109375" style="76"/>
    <col min="42" max="42" width="7.6640625" style="76" customWidth="1"/>
    <col min="43" max="43" width="5.6640625" style="76" hidden="1" customWidth="1"/>
    <col min="44" max="44" width="32.88671875" style="76" customWidth="1"/>
    <col min="45" max="45" width="24" style="76" customWidth="1"/>
    <col min="46" max="16384" width="9.109375" style="76"/>
  </cols>
  <sheetData>
    <row r="1" spans="1:46" s="71" customFormat="1" x14ac:dyDescent="0.3">
      <c r="A1" s="95" t="s">
        <v>4</v>
      </c>
      <c r="B1" s="95" t="s">
        <v>5</v>
      </c>
      <c r="C1" s="95" t="s">
        <v>7</v>
      </c>
      <c r="D1" s="95" t="s">
        <v>9</v>
      </c>
      <c r="E1" s="95" t="s">
        <v>11</v>
      </c>
      <c r="F1" s="95" t="s">
        <v>13</v>
      </c>
      <c r="G1" s="95" t="s">
        <v>15</v>
      </c>
      <c r="H1" s="95" t="s">
        <v>17</v>
      </c>
      <c r="I1" s="95" t="s">
        <v>19</v>
      </c>
      <c r="J1" s="95" t="s">
        <v>21</v>
      </c>
      <c r="K1" s="95" t="s">
        <v>23</v>
      </c>
      <c r="L1" s="95" t="s">
        <v>25</v>
      </c>
      <c r="M1" s="95" t="s">
        <v>27</v>
      </c>
      <c r="N1" s="95" t="s">
        <v>29</v>
      </c>
      <c r="O1" s="95" t="s">
        <v>31</v>
      </c>
      <c r="P1" s="95" t="s">
        <v>33</v>
      </c>
      <c r="Q1" s="95" t="s">
        <v>35</v>
      </c>
      <c r="R1" s="95" t="s">
        <v>37</v>
      </c>
      <c r="S1" s="95" t="s">
        <v>39</v>
      </c>
      <c r="T1" s="95" t="s">
        <v>41</v>
      </c>
      <c r="U1" s="96" t="s">
        <v>83</v>
      </c>
      <c r="V1" s="95" t="s">
        <v>5</v>
      </c>
      <c r="W1" s="95" t="s">
        <v>7</v>
      </c>
      <c r="X1" s="95" t="s">
        <v>9</v>
      </c>
      <c r="Y1" s="95" t="s">
        <v>11</v>
      </c>
      <c r="Z1" s="95" t="s">
        <v>13</v>
      </c>
      <c r="AA1" s="95" t="s">
        <v>15</v>
      </c>
      <c r="AB1" s="95" t="s">
        <v>17</v>
      </c>
      <c r="AC1" s="95" t="s">
        <v>19</v>
      </c>
      <c r="AD1" s="95" t="s">
        <v>21</v>
      </c>
      <c r="AE1" s="95" t="s">
        <v>23</v>
      </c>
      <c r="AF1" s="95" t="s">
        <v>25</v>
      </c>
      <c r="AG1" s="95" t="s">
        <v>27</v>
      </c>
      <c r="AH1" s="95" t="s">
        <v>29</v>
      </c>
      <c r="AI1" s="95" t="s">
        <v>31</v>
      </c>
      <c r="AJ1" s="95" t="s">
        <v>33</v>
      </c>
      <c r="AK1" s="95" t="s">
        <v>35</v>
      </c>
      <c r="AL1" s="95" t="s">
        <v>37</v>
      </c>
      <c r="AM1" s="95" t="s">
        <v>39</v>
      </c>
      <c r="AN1" s="95" t="s">
        <v>41</v>
      </c>
      <c r="AO1" s="96" t="s">
        <v>83</v>
      </c>
    </row>
    <row r="2" spans="1:46" x14ac:dyDescent="0.3">
      <c r="A2" s="97">
        <v>3</v>
      </c>
      <c r="B2" s="98"/>
      <c r="C2" s="98">
        <v>3.0659999999999998</v>
      </c>
      <c r="D2" s="98"/>
      <c r="E2" s="98"/>
      <c r="F2" s="98"/>
      <c r="G2" s="98"/>
      <c r="H2" s="98"/>
      <c r="I2" s="98"/>
      <c r="J2" s="98"/>
      <c r="K2" s="98"/>
      <c r="L2" s="98">
        <v>0.223</v>
      </c>
      <c r="M2" s="98"/>
      <c r="N2" s="98"/>
      <c r="O2" s="98"/>
      <c r="P2" s="98"/>
      <c r="Q2" s="98"/>
      <c r="R2" s="98">
        <v>0.02</v>
      </c>
      <c r="S2" s="98"/>
      <c r="T2" s="98"/>
      <c r="U2" s="99">
        <f>SUM(B2:T2)</f>
        <v>3.3089999999999997</v>
      </c>
      <c r="V2" s="100"/>
      <c r="W2" s="100">
        <f>C2*100/U2</f>
        <v>92.656391659111506</v>
      </c>
      <c r="X2" s="101"/>
      <c r="Y2" s="100"/>
      <c r="Z2" s="100"/>
      <c r="AA2" s="100"/>
      <c r="AB2" s="100"/>
      <c r="AC2" s="100"/>
      <c r="AD2" s="100"/>
      <c r="AE2" s="100"/>
      <c r="AF2" s="100">
        <f>L2*100/U2</f>
        <v>6.7391961317618625</v>
      </c>
      <c r="AG2" s="100"/>
      <c r="AH2" s="100"/>
      <c r="AI2" s="100"/>
      <c r="AJ2" s="100"/>
      <c r="AK2" s="100"/>
      <c r="AL2" s="102">
        <f>R2*100/U2</f>
        <v>0.60441220912662441</v>
      </c>
      <c r="AM2" s="100"/>
      <c r="AN2" s="100"/>
      <c r="AO2" s="100">
        <f t="shared" ref="AO2:AO33" si="0">SUM(V2:AN2)</f>
        <v>99.999999999999986</v>
      </c>
    </row>
    <row r="3" spans="1:46" ht="18.600000000000001" x14ac:dyDescent="0.3">
      <c r="A3" s="97" t="s">
        <v>52</v>
      </c>
      <c r="B3" s="98"/>
      <c r="C3" s="98"/>
      <c r="D3" s="98"/>
      <c r="E3" s="98"/>
      <c r="F3" s="98">
        <v>2.78</v>
      </c>
      <c r="G3" s="98"/>
      <c r="H3" s="98"/>
      <c r="I3" s="98"/>
      <c r="J3" s="98"/>
      <c r="K3" s="98"/>
      <c r="L3" s="98"/>
      <c r="M3" s="98"/>
      <c r="N3" s="98"/>
      <c r="O3" s="98"/>
      <c r="P3" s="98">
        <v>2.3E-2</v>
      </c>
      <c r="Q3" s="98"/>
      <c r="R3" s="98"/>
      <c r="S3" s="98"/>
      <c r="T3" s="98"/>
      <c r="U3" s="99">
        <f t="shared" ref="U3:U66" si="1">SUM(B3:T3)</f>
        <v>2.8029999999999999</v>
      </c>
      <c r="V3" s="100"/>
      <c r="W3" s="100"/>
      <c r="X3" s="100"/>
      <c r="Y3" s="100"/>
      <c r="Z3" s="100">
        <f>F3*100/U3</f>
        <v>99.179450588655016</v>
      </c>
      <c r="AA3" s="100"/>
      <c r="AB3" s="100"/>
      <c r="AC3" s="100"/>
      <c r="AD3" s="100"/>
      <c r="AE3" s="100"/>
      <c r="AF3" s="100"/>
      <c r="AG3" s="100"/>
      <c r="AH3" s="100"/>
      <c r="AI3" s="100"/>
      <c r="AJ3" s="100">
        <f>P3*100/U3</f>
        <v>0.82054941134498749</v>
      </c>
      <c r="AK3" s="100"/>
      <c r="AL3" s="100"/>
      <c r="AM3" s="100"/>
      <c r="AN3" s="100"/>
      <c r="AO3" s="100">
        <f t="shared" si="0"/>
        <v>100</v>
      </c>
      <c r="AR3" s="130" t="s">
        <v>84</v>
      </c>
      <c r="AS3" s="130"/>
    </row>
    <row r="4" spans="1:46" x14ac:dyDescent="0.3">
      <c r="A4" s="97" t="s">
        <v>54</v>
      </c>
      <c r="B4" s="98"/>
      <c r="C4" s="98"/>
      <c r="D4" s="98">
        <v>1.9379999999999999</v>
      </c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>
        <v>5.0000000000000001E-3</v>
      </c>
      <c r="S4" s="98"/>
      <c r="T4" s="98"/>
      <c r="U4" s="99">
        <f t="shared" si="1"/>
        <v>1.9429999999999998</v>
      </c>
      <c r="V4" s="100"/>
      <c r="W4" s="100"/>
      <c r="X4" s="100">
        <f>D4*100/U4</f>
        <v>99.742665980442609</v>
      </c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>
        <f>R4*100/U4</f>
        <v>0.2573340195573855</v>
      </c>
      <c r="AM4" s="100"/>
      <c r="AN4" s="100"/>
      <c r="AO4" s="100">
        <f t="shared" si="0"/>
        <v>100</v>
      </c>
      <c r="AR4" s="103" t="s">
        <v>85</v>
      </c>
      <c r="AS4" s="103" t="s">
        <v>86</v>
      </c>
    </row>
    <row r="5" spans="1:46" x14ac:dyDescent="0.3">
      <c r="A5" s="97">
        <v>142</v>
      </c>
      <c r="B5" s="98"/>
      <c r="C5" s="98"/>
      <c r="D5" s="98"/>
      <c r="E5" s="98"/>
      <c r="F5" s="98">
        <v>0.14499999999999999</v>
      </c>
      <c r="G5" s="98">
        <v>0.11</v>
      </c>
      <c r="H5" s="98"/>
      <c r="I5" s="98"/>
      <c r="J5" s="98"/>
      <c r="K5" s="98"/>
      <c r="L5" s="98"/>
      <c r="M5" s="98">
        <v>9.8000000000000004E-2</v>
      </c>
      <c r="N5" s="98"/>
      <c r="O5" s="98"/>
      <c r="P5" s="98"/>
      <c r="Q5" s="98"/>
      <c r="R5" s="98"/>
      <c r="S5" s="98"/>
      <c r="T5" s="98"/>
      <c r="U5" s="99">
        <f t="shared" si="1"/>
        <v>0.35299999999999998</v>
      </c>
      <c r="V5" s="100"/>
      <c r="W5" s="100"/>
      <c r="X5" s="100"/>
      <c r="Y5" s="100"/>
      <c r="Z5" s="100">
        <f t="shared" ref="Z5:Z11" si="2">F5*100/U5</f>
        <v>41.076487252124643</v>
      </c>
      <c r="AA5" s="100">
        <f>G5*100/U5</f>
        <v>31.161473087818699</v>
      </c>
      <c r="AB5" s="100"/>
      <c r="AC5" s="100"/>
      <c r="AD5" s="100"/>
      <c r="AE5" s="100"/>
      <c r="AF5" s="100"/>
      <c r="AG5" s="100">
        <f>M5*100/U5</f>
        <v>27.762039660056661</v>
      </c>
      <c r="AH5" s="100"/>
      <c r="AI5" s="100"/>
      <c r="AJ5" s="100"/>
      <c r="AK5" s="100"/>
      <c r="AL5" s="100"/>
      <c r="AM5" s="100"/>
      <c r="AN5" s="100"/>
      <c r="AO5" s="100">
        <f t="shared" si="0"/>
        <v>100</v>
      </c>
      <c r="AR5" s="72" t="s">
        <v>5</v>
      </c>
      <c r="AS5" s="90">
        <v>57.650852681312642</v>
      </c>
      <c r="AT5" s="87"/>
    </row>
    <row r="6" spans="1:46" x14ac:dyDescent="0.3">
      <c r="A6" s="97">
        <v>2</v>
      </c>
      <c r="B6" s="98"/>
      <c r="C6" s="98"/>
      <c r="D6" s="98">
        <v>1.115</v>
      </c>
      <c r="E6" s="98"/>
      <c r="F6" s="98">
        <v>0.57699999999999996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>
        <v>8.0000000000000002E-3</v>
      </c>
      <c r="S6" s="98"/>
      <c r="T6" s="98"/>
      <c r="U6" s="99">
        <f t="shared" si="1"/>
        <v>1.7</v>
      </c>
      <c r="V6" s="100"/>
      <c r="W6" s="100"/>
      <c r="X6" s="100">
        <f>D6*100/U6</f>
        <v>65.588235294117652</v>
      </c>
      <c r="Y6" s="100"/>
      <c r="Z6" s="100">
        <f t="shared" si="2"/>
        <v>33.941176470588232</v>
      </c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>
        <f>R6*100/U6</f>
        <v>0.4705882352941177</v>
      </c>
      <c r="AM6" s="100"/>
      <c r="AN6" s="100"/>
      <c r="AO6" s="100">
        <f t="shared" si="0"/>
        <v>100</v>
      </c>
      <c r="AR6" s="72" t="s">
        <v>7</v>
      </c>
      <c r="AS6" s="90">
        <v>89.186013270705999</v>
      </c>
      <c r="AT6" s="87"/>
    </row>
    <row r="7" spans="1:46" x14ac:dyDescent="0.3">
      <c r="A7" s="97" t="s">
        <v>58</v>
      </c>
      <c r="B7" s="98"/>
      <c r="C7" s="98"/>
      <c r="D7" s="98"/>
      <c r="E7" s="98"/>
      <c r="F7" s="98">
        <v>1.552</v>
      </c>
      <c r="G7" s="98"/>
      <c r="H7" s="98"/>
      <c r="I7" s="98"/>
      <c r="J7" s="98"/>
      <c r="K7" s="98"/>
      <c r="L7" s="98">
        <v>2.5000000000000001E-2</v>
      </c>
      <c r="M7" s="98"/>
      <c r="N7" s="98"/>
      <c r="O7" s="98"/>
      <c r="P7" s="98"/>
      <c r="Q7" s="98"/>
      <c r="R7" s="98"/>
      <c r="S7" s="98"/>
      <c r="T7" s="98"/>
      <c r="U7" s="99">
        <f t="shared" si="1"/>
        <v>1.577</v>
      </c>
      <c r="V7" s="100"/>
      <c r="W7" s="100"/>
      <c r="X7" s="100"/>
      <c r="Y7" s="100"/>
      <c r="Z7" s="100">
        <f t="shared" si="2"/>
        <v>98.414711477488922</v>
      </c>
      <c r="AA7" s="100"/>
      <c r="AB7" s="100"/>
      <c r="AC7" s="100"/>
      <c r="AD7" s="100"/>
      <c r="AE7" s="100"/>
      <c r="AF7" s="100">
        <f>L7*100/U7</f>
        <v>1.5852885225110971</v>
      </c>
      <c r="AG7" s="100"/>
      <c r="AH7" s="100"/>
      <c r="AI7" s="100"/>
      <c r="AJ7" s="100"/>
      <c r="AK7" s="100"/>
      <c r="AL7" s="100"/>
      <c r="AM7" s="100"/>
      <c r="AN7" s="100"/>
      <c r="AO7" s="100">
        <f t="shared" si="0"/>
        <v>100.00000000000001</v>
      </c>
      <c r="AR7" s="72" t="s">
        <v>9</v>
      </c>
      <c r="AS7" s="90">
        <v>71.45399502223664</v>
      </c>
      <c r="AT7" s="87"/>
    </row>
    <row r="8" spans="1:46" x14ac:dyDescent="0.3">
      <c r="A8" s="97">
        <v>161</v>
      </c>
      <c r="B8" s="98"/>
      <c r="C8" s="98">
        <v>2.7309999999999999</v>
      </c>
      <c r="D8" s="98"/>
      <c r="E8" s="98"/>
      <c r="F8" s="98">
        <v>0.46500000000000002</v>
      </c>
      <c r="G8" s="98"/>
      <c r="H8" s="98"/>
      <c r="I8" s="98"/>
      <c r="J8" s="98"/>
      <c r="K8" s="98"/>
      <c r="L8" s="98">
        <v>0.02</v>
      </c>
      <c r="M8" s="98"/>
      <c r="N8" s="98"/>
      <c r="O8" s="98"/>
      <c r="P8" s="98"/>
      <c r="Q8" s="98"/>
      <c r="R8" s="98"/>
      <c r="S8" s="98"/>
      <c r="T8" s="98"/>
      <c r="U8" s="99">
        <f t="shared" si="1"/>
        <v>3.2159999999999997</v>
      </c>
      <c r="V8" s="100"/>
      <c r="W8" s="100">
        <f>C8*100/U8</f>
        <v>84.919154228855717</v>
      </c>
      <c r="X8" s="100"/>
      <c r="Y8" s="100"/>
      <c r="Z8" s="100">
        <f t="shared" si="2"/>
        <v>14.458955223880599</v>
      </c>
      <c r="AA8" s="100"/>
      <c r="AB8" s="100"/>
      <c r="AC8" s="100"/>
      <c r="AD8" s="100"/>
      <c r="AE8" s="100"/>
      <c r="AF8" s="100">
        <f>L8*100/U8</f>
        <v>0.62189054726368165</v>
      </c>
      <c r="AG8" s="100"/>
      <c r="AH8" s="100"/>
      <c r="AI8" s="100"/>
      <c r="AJ8" s="100"/>
      <c r="AK8" s="100"/>
      <c r="AL8" s="100"/>
      <c r="AM8" s="100"/>
      <c r="AN8" s="100"/>
      <c r="AO8" s="100">
        <f t="shared" si="0"/>
        <v>99.999999999999986</v>
      </c>
      <c r="AR8" s="72" t="s">
        <v>11</v>
      </c>
      <c r="AS8" s="90">
        <v>72.447382602476779</v>
      </c>
      <c r="AT8" s="87"/>
    </row>
    <row r="9" spans="1:46" x14ac:dyDescent="0.3">
      <c r="A9" s="97">
        <v>172</v>
      </c>
      <c r="B9" s="98">
        <v>0.63800000000000001</v>
      </c>
      <c r="C9" s="98"/>
      <c r="D9" s="98"/>
      <c r="E9" s="98"/>
      <c r="F9" s="98">
        <v>0.2</v>
      </c>
      <c r="G9" s="98"/>
      <c r="H9" s="98">
        <v>0.17499999999999999</v>
      </c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9">
        <f t="shared" si="1"/>
        <v>1.0130000000000001</v>
      </c>
      <c r="V9" s="100">
        <f>B9*100/U9</f>
        <v>62.981243830207305</v>
      </c>
      <c r="W9" s="100"/>
      <c r="X9" s="100"/>
      <c r="Y9" s="100"/>
      <c r="Z9" s="100">
        <f t="shared" si="2"/>
        <v>19.743336623889434</v>
      </c>
      <c r="AA9" s="100"/>
      <c r="AB9" s="100">
        <f>H9*100/U9</f>
        <v>17.275419545903254</v>
      </c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>
        <f t="shared" si="0"/>
        <v>100</v>
      </c>
      <c r="AR9" s="72" t="s">
        <v>13</v>
      </c>
      <c r="AS9" s="90">
        <v>20.27127265353095</v>
      </c>
      <c r="AT9" s="87"/>
    </row>
    <row r="10" spans="1:46" x14ac:dyDescent="0.3">
      <c r="A10" s="97">
        <v>169</v>
      </c>
      <c r="B10" s="98"/>
      <c r="C10" s="98"/>
      <c r="D10" s="98"/>
      <c r="E10" s="98"/>
      <c r="F10" s="98">
        <v>2.129</v>
      </c>
      <c r="G10" s="98"/>
      <c r="H10" s="98"/>
      <c r="I10" s="98"/>
      <c r="J10" s="98"/>
      <c r="K10" s="98"/>
      <c r="L10" s="98"/>
      <c r="M10" s="98">
        <v>0.13</v>
      </c>
      <c r="N10" s="98"/>
      <c r="O10" s="98"/>
      <c r="P10" s="98">
        <v>3.5000000000000003E-2</v>
      </c>
      <c r="Q10" s="98"/>
      <c r="R10" s="98"/>
      <c r="S10" s="98"/>
      <c r="T10" s="98"/>
      <c r="U10" s="99">
        <f t="shared" si="1"/>
        <v>2.294</v>
      </c>
      <c r="V10" s="100"/>
      <c r="W10" s="100"/>
      <c r="X10" s="100"/>
      <c r="Y10" s="100"/>
      <c r="Z10" s="100">
        <f t="shared" si="2"/>
        <v>92.807323452484738</v>
      </c>
      <c r="AA10" s="100"/>
      <c r="AB10" s="100"/>
      <c r="AC10" s="100"/>
      <c r="AD10" s="100"/>
      <c r="AE10" s="100"/>
      <c r="AF10" s="100"/>
      <c r="AG10" s="100">
        <f>M10*100/U10</f>
        <v>5.6669572798605055</v>
      </c>
      <c r="AH10" s="100"/>
      <c r="AI10" s="100"/>
      <c r="AJ10" s="100">
        <f>P10*100/U10</f>
        <v>1.5257192676547517</v>
      </c>
      <c r="AK10" s="100"/>
      <c r="AL10" s="100"/>
      <c r="AM10" s="100"/>
      <c r="AN10" s="100"/>
      <c r="AO10" s="100">
        <f t="shared" si="0"/>
        <v>100</v>
      </c>
      <c r="AR10" s="72" t="s">
        <v>15</v>
      </c>
      <c r="AS10" s="90">
        <v>63.997546167701159</v>
      </c>
      <c r="AT10" s="87"/>
    </row>
    <row r="11" spans="1:46" x14ac:dyDescent="0.3">
      <c r="A11" s="97" t="s">
        <v>60</v>
      </c>
      <c r="B11" s="98"/>
      <c r="C11" s="98"/>
      <c r="D11" s="98"/>
      <c r="E11" s="98"/>
      <c r="F11" s="98">
        <v>0.95</v>
      </c>
      <c r="G11" s="98">
        <v>2.5449999999999999</v>
      </c>
      <c r="H11" s="98"/>
      <c r="I11" s="98"/>
      <c r="J11" s="98"/>
      <c r="K11" s="98"/>
      <c r="L11" s="98">
        <v>0.3</v>
      </c>
      <c r="M11" s="98"/>
      <c r="N11" s="98"/>
      <c r="O11" s="98"/>
      <c r="P11" s="98"/>
      <c r="Q11" s="98"/>
      <c r="R11" s="98"/>
      <c r="S11" s="98"/>
      <c r="T11" s="98"/>
      <c r="U11" s="99">
        <f t="shared" si="1"/>
        <v>3.7949999999999999</v>
      </c>
      <c r="V11" s="100"/>
      <c r="W11" s="100"/>
      <c r="X11" s="100"/>
      <c r="Y11" s="100"/>
      <c r="Z11" s="100">
        <f t="shared" si="2"/>
        <v>25.032938076416336</v>
      </c>
      <c r="AA11" s="100">
        <f>G11*100/U11</f>
        <v>67.061923583662718</v>
      </c>
      <c r="AB11" s="100"/>
      <c r="AC11" s="100"/>
      <c r="AD11" s="100"/>
      <c r="AE11" s="100"/>
      <c r="AF11" s="100">
        <f>L11*100/U11</f>
        <v>7.9051383399209492</v>
      </c>
      <c r="AG11" s="100"/>
      <c r="AH11" s="100"/>
      <c r="AI11" s="100"/>
      <c r="AJ11" s="100"/>
      <c r="AK11" s="100"/>
      <c r="AL11" s="100"/>
      <c r="AM11" s="100"/>
      <c r="AN11" s="100"/>
      <c r="AO11" s="100">
        <f t="shared" si="0"/>
        <v>100.00000000000001</v>
      </c>
      <c r="AR11" s="72" t="s">
        <v>17</v>
      </c>
      <c r="AS11" s="90">
        <v>29.714899805524372</v>
      </c>
      <c r="AT11" s="87"/>
    </row>
    <row r="12" spans="1:46" x14ac:dyDescent="0.3">
      <c r="A12" s="97">
        <v>173</v>
      </c>
      <c r="B12" s="98"/>
      <c r="C12" s="98"/>
      <c r="D12" s="98"/>
      <c r="E12" s="98"/>
      <c r="F12" s="98"/>
      <c r="G12" s="98">
        <v>4.17</v>
      </c>
      <c r="H12" s="98"/>
      <c r="I12" s="98"/>
      <c r="J12" s="98"/>
      <c r="K12" s="98"/>
      <c r="L12" s="98">
        <v>1.7999999999999999E-2</v>
      </c>
      <c r="M12" s="98"/>
      <c r="N12" s="98"/>
      <c r="O12" s="98"/>
      <c r="P12" s="98"/>
      <c r="Q12" s="98"/>
      <c r="R12" s="98"/>
      <c r="S12" s="98"/>
      <c r="T12" s="98"/>
      <c r="U12" s="99">
        <f t="shared" si="1"/>
        <v>4.1879999999999997</v>
      </c>
      <c r="V12" s="100"/>
      <c r="W12" s="100"/>
      <c r="X12" s="100"/>
      <c r="Y12" s="100"/>
      <c r="Z12" s="100"/>
      <c r="AA12" s="100">
        <f>G12*100/U12</f>
        <v>99.570200573065904</v>
      </c>
      <c r="AB12" s="100"/>
      <c r="AC12" s="100"/>
      <c r="AD12" s="100"/>
      <c r="AE12" s="100"/>
      <c r="AF12" s="100">
        <f>L12*100/U12</f>
        <v>0.42979942693409739</v>
      </c>
      <c r="AG12" s="100"/>
      <c r="AH12" s="100"/>
      <c r="AI12" s="100"/>
      <c r="AJ12" s="100"/>
      <c r="AK12" s="100"/>
      <c r="AL12" s="100"/>
      <c r="AM12" s="100"/>
      <c r="AN12" s="100"/>
      <c r="AO12" s="100">
        <f t="shared" si="0"/>
        <v>100</v>
      </c>
      <c r="AR12" s="72" t="s">
        <v>19</v>
      </c>
      <c r="AS12" s="90">
        <v>30.822994210090982</v>
      </c>
      <c r="AT12" s="87"/>
    </row>
    <row r="13" spans="1:46" x14ac:dyDescent="0.3">
      <c r="A13" s="97">
        <v>251</v>
      </c>
      <c r="B13" s="98"/>
      <c r="C13" s="98"/>
      <c r="D13" s="98">
        <v>0.72399999999999998</v>
      </c>
      <c r="E13" s="98">
        <v>4.6500000000000004</v>
      </c>
      <c r="F13" s="98">
        <v>0.22600000000000001</v>
      </c>
      <c r="G13" s="98"/>
      <c r="H13" s="98"/>
      <c r="I13" s="98"/>
      <c r="J13" s="98">
        <v>8.9999999999999993E-3</v>
      </c>
      <c r="K13" s="98"/>
      <c r="L13" s="98"/>
      <c r="M13" s="98"/>
      <c r="N13" s="98">
        <v>0.19800000000000001</v>
      </c>
      <c r="O13" s="98"/>
      <c r="P13" s="98"/>
      <c r="Q13" s="98"/>
      <c r="R13" s="98">
        <v>7.0000000000000001E-3</v>
      </c>
      <c r="S13" s="98"/>
      <c r="T13" s="98"/>
      <c r="U13" s="99">
        <f t="shared" si="1"/>
        <v>5.8140000000000009</v>
      </c>
      <c r="V13" s="100"/>
      <c r="W13" s="100"/>
      <c r="X13" s="100">
        <f>D13*100/U13</f>
        <v>12.452700378396969</v>
      </c>
      <c r="Y13" s="100">
        <f>E13*100/U13</f>
        <v>79.979360165118678</v>
      </c>
      <c r="Z13" s="100">
        <f>F13*100/U13</f>
        <v>3.8871689026487783</v>
      </c>
      <c r="AA13" s="100"/>
      <c r="AB13" s="100"/>
      <c r="AC13" s="100"/>
      <c r="AD13" s="100">
        <f>J13*100/U13</f>
        <v>0.15479876160990708</v>
      </c>
      <c r="AE13" s="100"/>
      <c r="AF13" s="100"/>
      <c r="AG13" s="100"/>
      <c r="AH13" s="100">
        <f>N13*100/U13</f>
        <v>3.405572755417956</v>
      </c>
      <c r="AI13" s="100"/>
      <c r="AJ13" s="100"/>
      <c r="AK13" s="100"/>
      <c r="AL13" s="100">
        <f>R13*100/U13</f>
        <v>0.12039903680770553</v>
      </c>
      <c r="AM13" s="100"/>
      <c r="AN13" s="100"/>
      <c r="AO13" s="100">
        <f t="shared" si="0"/>
        <v>100</v>
      </c>
      <c r="AR13" s="72" t="s">
        <v>21</v>
      </c>
      <c r="AS13" s="90">
        <v>0.15479876160990708</v>
      </c>
      <c r="AT13" s="87"/>
    </row>
    <row r="14" spans="1:46" x14ac:dyDescent="0.3">
      <c r="A14" s="97">
        <v>4</v>
      </c>
      <c r="B14" s="98"/>
      <c r="C14" s="98"/>
      <c r="D14" s="98">
        <v>0.72</v>
      </c>
      <c r="E14" s="98">
        <v>2.1</v>
      </c>
      <c r="F14" s="98"/>
      <c r="G14" s="98">
        <v>1.6819999999999999</v>
      </c>
      <c r="H14" s="98"/>
      <c r="I14" s="98"/>
      <c r="J14" s="98"/>
      <c r="K14" s="98">
        <v>0.2</v>
      </c>
      <c r="L14" s="98"/>
      <c r="M14" s="98"/>
      <c r="N14" s="98">
        <v>0.67</v>
      </c>
      <c r="O14" s="98"/>
      <c r="P14" s="98"/>
      <c r="Q14" s="98"/>
      <c r="R14" s="98"/>
      <c r="S14" s="98"/>
      <c r="T14" s="98"/>
      <c r="U14" s="99">
        <f t="shared" si="1"/>
        <v>5.3720000000000008</v>
      </c>
      <c r="V14" s="100"/>
      <c r="W14" s="100"/>
      <c r="X14" s="100">
        <f>D14*100/U14</f>
        <v>13.402829486224867</v>
      </c>
      <c r="Y14" s="100">
        <f>E14*100/U14</f>
        <v>39.091586001489198</v>
      </c>
      <c r="Z14" s="100"/>
      <c r="AA14" s="100">
        <f>G14*100/U14</f>
        <v>31.310498883097537</v>
      </c>
      <c r="AB14" s="100"/>
      <c r="AC14" s="100"/>
      <c r="AD14" s="100"/>
      <c r="AE14" s="100">
        <f>K14*100/U14</f>
        <v>3.7230081906180188</v>
      </c>
      <c r="AF14" s="100"/>
      <c r="AG14" s="100"/>
      <c r="AH14" s="100">
        <f>N14*100/U14</f>
        <v>12.472077438570363</v>
      </c>
      <c r="AI14" s="100"/>
      <c r="AJ14" s="100"/>
      <c r="AK14" s="100"/>
      <c r="AL14" s="100"/>
      <c r="AM14" s="100"/>
      <c r="AN14" s="100"/>
      <c r="AO14" s="100">
        <f t="shared" si="0"/>
        <v>99.999999999999986</v>
      </c>
      <c r="AR14" s="72" t="s">
        <v>23</v>
      </c>
      <c r="AS14" s="90">
        <v>1.3965798980205326</v>
      </c>
      <c r="AT14" s="87"/>
    </row>
    <row r="15" spans="1:46" x14ac:dyDescent="0.3">
      <c r="A15" s="97">
        <v>232</v>
      </c>
      <c r="B15" s="98"/>
      <c r="C15" s="98">
        <v>2.2999999999999998</v>
      </c>
      <c r="D15" s="98"/>
      <c r="E15" s="98"/>
      <c r="F15" s="98"/>
      <c r="G15" s="98"/>
      <c r="H15" s="98"/>
      <c r="I15" s="98"/>
      <c r="J15" s="98"/>
      <c r="K15" s="98"/>
      <c r="L15" s="98">
        <v>0.01</v>
      </c>
      <c r="M15" s="98"/>
      <c r="N15" s="98"/>
      <c r="O15" s="98"/>
      <c r="P15" s="98"/>
      <c r="Q15" s="98">
        <v>0.20699999999999999</v>
      </c>
      <c r="R15" s="98"/>
      <c r="S15" s="98"/>
      <c r="T15" s="98"/>
      <c r="U15" s="99">
        <f t="shared" si="1"/>
        <v>2.5169999999999995</v>
      </c>
      <c r="V15" s="100"/>
      <c r="W15" s="100">
        <f>C15*100/U15</f>
        <v>91.378625347636088</v>
      </c>
      <c r="X15" s="100"/>
      <c r="Y15" s="100"/>
      <c r="Z15" s="100"/>
      <c r="AA15" s="100"/>
      <c r="AB15" s="100"/>
      <c r="AC15" s="100"/>
      <c r="AD15" s="100"/>
      <c r="AE15" s="100"/>
      <c r="AF15" s="100">
        <f>L15*100/U15</f>
        <v>0.39729837107667865</v>
      </c>
      <c r="AG15" s="100"/>
      <c r="AH15" s="100"/>
      <c r="AI15" s="100"/>
      <c r="AJ15" s="100"/>
      <c r="AK15" s="100">
        <f>Q15*100/U15</f>
        <v>8.2240762812872479</v>
      </c>
      <c r="AL15" s="100"/>
      <c r="AM15" s="100"/>
      <c r="AN15" s="100"/>
      <c r="AO15" s="100">
        <f t="shared" si="0"/>
        <v>100.00000000000001</v>
      </c>
      <c r="AR15" s="72" t="s">
        <v>25</v>
      </c>
      <c r="AS15" s="90">
        <v>2.9320941345864333</v>
      </c>
      <c r="AT15" s="87"/>
    </row>
    <row r="16" spans="1:46" x14ac:dyDescent="0.3">
      <c r="A16" s="97">
        <v>242</v>
      </c>
      <c r="B16" s="98"/>
      <c r="C16" s="98">
        <v>3.5249999999999999</v>
      </c>
      <c r="D16" s="98"/>
      <c r="E16" s="98"/>
      <c r="F16" s="98">
        <v>0.4</v>
      </c>
      <c r="G16" s="98"/>
      <c r="H16" s="98"/>
      <c r="I16" s="98"/>
      <c r="J16" s="98"/>
      <c r="K16" s="98"/>
      <c r="L16" s="98">
        <v>0.01</v>
      </c>
      <c r="M16" s="98"/>
      <c r="N16" s="98"/>
      <c r="O16" s="98"/>
      <c r="P16" s="98"/>
      <c r="Q16" s="98"/>
      <c r="R16" s="98"/>
      <c r="S16" s="98"/>
      <c r="T16" s="98"/>
      <c r="U16" s="99">
        <f t="shared" si="1"/>
        <v>3.9349999999999996</v>
      </c>
      <c r="V16" s="100"/>
      <c r="W16" s="100">
        <f>C16*100/U16</f>
        <v>89.580686149936483</v>
      </c>
      <c r="X16" s="100"/>
      <c r="Y16" s="100"/>
      <c r="Z16" s="100">
        <f>F16*100/U16</f>
        <v>10.165184243964422</v>
      </c>
      <c r="AA16" s="100"/>
      <c r="AB16" s="100"/>
      <c r="AC16" s="100"/>
      <c r="AD16" s="100"/>
      <c r="AE16" s="100"/>
      <c r="AF16" s="100">
        <f>L16*100/U16</f>
        <v>0.25412960609911056</v>
      </c>
      <c r="AG16" s="100"/>
      <c r="AH16" s="100"/>
      <c r="AI16" s="100"/>
      <c r="AJ16" s="100"/>
      <c r="AK16" s="100"/>
      <c r="AL16" s="100"/>
      <c r="AM16" s="100"/>
      <c r="AN16" s="100"/>
      <c r="AO16" s="100">
        <f t="shared" si="0"/>
        <v>100.00000000000001</v>
      </c>
      <c r="AR16" s="72" t="s">
        <v>27</v>
      </c>
      <c r="AS16" s="90">
        <v>2.9456062942739454</v>
      </c>
      <c r="AT16" s="87"/>
    </row>
    <row r="17" spans="1:46" x14ac:dyDescent="0.3">
      <c r="A17" s="97">
        <v>234</v>
      </c>
      <c r="B17" s="98"/>
      <c r="C17" s="98"/>
      <c r="D17" s="98"/>
      <c r="E17" s="98"/>
      <c r="F17" s="98"/>
      <c r="G17" s="98">
        <v>0.16</v>
      </c>
      <c r="H17" s="98"/>
      <c r="I17" s="98"/>
      <c r="J17" s="98"/>
      <c r="K17" s="98"/>
      <c r="L17" s="98"/>
      <c r="M17" s="98">
        <v>3.0000000000000001E-3</v>
      </c>
      <c r="N17" s="98"/>
      <c r="O17" s="98"/>
      <c r="P17" s="98"/>
      <c r="Q17" s="98"/>
      <c r="R17" s="98"/>
      <c r="S17" s="98"/>
      <c r="T17" s="98"/>
      <c r="U17" s="99">
        <f t="shared" si="1"/>
        <v>0.16300000000000001</v>
      </c>
      <c r="V17" s="100"/>
      <c r="W17" s="100"/>
      <c r="X17" s="100"/>
      <c r="Y17" s="100"/>
      <c r="Z17" s="100"/>
      <c r="AA17" s="100">
        <f>G17*100/U17</f>
        <v>98.159509202453989</v>
      </c>
      <c r="AB17" s="100"/>
      <c r="AC17" s="100"/>
      <c r="AD17" s="100"/>
      <c r="AE17" s="100"/>
      <c r="AF17" s="100"/>
      <c r="AG17" s="100">
        <f>M17*100/U17</f>
        <v>1.8404907975460121</v>
      </c>
      <c r="AH17" s="100"/>
      <c r="AI17" s="100"/>
      <c r="AJ17" s="100"/>
      <c r="AK17" s="100"/>
      <c r="AL17" s="100"/>
      <c r="AM17" s="100"/>
      <c r="AN17" s="100"/>
      <c r="AO17" s="100">
        <f t="shared" si="0"/>
        <v>100</v>
      </c>
      <c r="AR17" s="72" t="s">
        <v>29</v>
      </c>
      <c r="AS17" s="90">
        <v>5.1320040425037545</v>
      </c>
      <c r="AT17" s="87"/>
    </row>
    <row r="18" spans="1:46" x14ac:dyDescent="0.3">
      <c r="A18" s="97">
        <v>218</v>
      </c>
      <c r="B18" s="98"/>
      <c r="C18" s="98"/>
      <c r="D18" s="98"/>
      <c r="E18" s="98"/>
      <c r="F18" s="98">
        <v>2.1999999999999999E-2</v>
      </c>
      <c r="G18" s="98">
        <v>0.24</v>
      </c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9">
        <f t="shared" si="1"/>
        <v>0.26200000000000001</v>
      </c>
      <c r="V18" s="100"/>
      <c r="W18" s="100"/>
      <c r="X18" s="100"/>
      <c r="Y18" s="100"/>
      <c r="Z18" s="100">
        <f>F18*100/U18</f>
        <v>8.3969465648854946</v>
      </c>
      <c r="AA18" s="100">
        <f>G18*100/U18</f>
        <v>91.603053435114504</v>
      </c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>
        <f t="shared" si="0"/>
        <v>100</v>
      </c>
      <c r="AR18" s="72" t="s">
        <v>31</v>
      </c>
      <c r="AS18" s="90">
        <v>2.2952625780389275</v>
      </c>
      <c r="AT18" s="87"/>
    </row>
    <row r="19" spans="1:46" x14ac:dyDescent="0.3">
      <c r="A19" s="97">
        <v>229</v>
      </c>
      <c r="B19" s="98"/>
      <c r="C19" s="98"/>
      <c r="D19" s="98"/>
      <c r="E19" s="98"/>
      <c r="F19" s="98"/>
      <c r="G19" s="98">
        <v>3.73</v>
      </c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9">
        <f t="shared" si="1"/>
        <v>3.73</v>
      </c>
      <c r="V19" s="100"/>
      <c r="W19" s="100"/>
      <c r="X19" s="100"/>
      <c r="Y19" s="100"/>
      <c r="Z19" s="100"/>
      <c r="AA19" s="100">
        <f>G19*100/U19</f>
        <v>100</v>
      </c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>
        <f t="shared" si="0"/>
        <v>100</v>
      </c>
      <c r="AR19" s="72" t="s">
        <v>33</v>
      </c>
      <c r="AS19" s="90">
        <v>0.54235301102353961</v>
      </c>
      <c r="AT19" s="87"/>
    </row>
    <row r="20" spans="1:46" x14ac:dyDescent="0.3">
      <c r="A20" s="97">
        <v>246</v>
      </c>
      <c r="B20" s="98">
        <v>2.9249999999999998</v>
      </c>
      <c r="C20" s="98"/>
      <c r="D20" s="98"/>
      <c r="E20" s="98"/>
      <c r="F20" s="98">
        <v>2.1</v>
      </c>
      <c r="G20" s="98"/>
      <c r="H20" s="98">
        <v>0.10299999999999999</v>
      </c>
      <c r="I20" s="98"/>
      <c r="J20" s="98"/>
      <c r="K20" s="98"/>
      <c r="L20" s="98">
        <v>0.1</v>
      </c>
      <c r="M20" s="98"/>
      <c r="N20" s="98"/>
      <c r="O20" s="98"/>
      <c r="P20" s="98"/>
      <c r="Q20" s="98"/>
      <c r="R20" s="98">
        <v>0.1</v>
      </c>
      <c r="S20" s="98"/>
      <c r="T20" s="98"/>
      <c r="U20" s="99">
        <f t="shared" si="1"/>
        <v>5.3279999999999994</v>
      </c>
      <c r="V20" s="100">
        <f>B20*100/U20</f>
        <v>54.898648648648653</v>
      </c>
      <c r="W20" s="100"/>
      <c r="X20" s="100"/>
      <c r="Y20" s="100"/>
      <c r="Z20" s="100">
        <f t="shared" ref="Z20:Z25" si="3">F20*100/U20</f>
        <v>39.414414414414416</v>
      </c>
      <c r="AA20" s="100"/>
      <c r="AB20" s="100">
        <f>H20*100/U20</f>
        <v>1.9331831831831832</v>
      </c>
      <c r="AC20" s="100"/>
      <c r="AD20" s="100"/>
      <c r="AE20" s="100"/>
      <c r="AF20" s="100">
        <f>L20*100/U20</f>
        <v>1.8768768768768771</v>
      </c>
      <c r="AG20" s="100"/>
      <c r="AH20" s="100"/>
      <c r="AI20" s="100"/>
      <c r="AJ20" s="100"/>
      <c r="AK20" s="100"/>
      <c r="AL20" s="100">
        <f>R20*100/U20</f>
        <v>1.8768768768768771</v>
      </c>
      <c r="AM20" s="100"/>
      <c r="AN20" s="100"/>
      <c r="AO20" s="100">
        <f t="shared" si="0"/>
        <v>100.00000000000001</v>
      </c>
      <c r="AR20" s="72" t="s">
        <v>35</v>
      </c>
      <c r="AS20" s="90">
        <v>27.458196600030846</v>
      </c>
      <c r="AT20" s="87"/>
    </row>
    <row r="21" spans="1:46" x14ac:dyDescent="0.3">
      <c r="A21" s="97">
        <v>253</v>
      </c>
      <c r="B21" s="98"/>
      <c r="C21" s="98"/>
      <c r="D21" s="98">
        <v>1.5680000000000001</v>
      </c>
      <c r="E21" s="98"/>
      <c r="F21" s="98">
        <v>0.5</v>
      </c>
      <c r="G21" s="98">
        <v>0.13</v>
      </c>
      <c r="H21" s="98"/>
      <c r="I21" s="98"/>
      <c r="J21" s="98"/>
      <c r="K21" s="98"/>
      <c r="L21" s="98">
        <v>2.5000000000000001E-2</v>
      </c>
      <c r="M21" s="98"/>
      <c r="N21" s="98"/>
      <c r="O21" s="98"/>
      <c r="P21" s="98"/>
      <c r="Q21" s="98"/>
      <c r="R21" s="98">
        <v>4.0000000000000001E-3</v>
      </c>
      <c r="S21" s="98"/>
      <c r="T21" s="98"/>
      <c r="U21" s="99">
        <f t="shared" si="1"/>
        <v>2.2269999999999999</v>
      </c>
      <c r="V21" s="100"/>
      <c r="W21" s="100"/>
      <c r="X21" s="100">
        <f>D21*100/U21</f>
        <v>70.408621463852725</v>
      </c>
      <c r="Y21" s="100"/>
      <c r="Z21" s="100">
        <f t="shared" si="3"/>
        <v>22.451728783116302</v>
      </c>
      <c r="AA21" s="100">
        <f>G21*100/U21</f>
        <v>5.8374494836102384</v>
      </c>
      <c r="AB21" s="100"/>
      <c r="AC21" s="100"/>
      <c r="AD21" s="100"/>
      <c r="AE21" s="100"/>
      <c r="AF21" s="100">
        <f>L21*100/U21</f>
        <v>1.1225864391558151</v>
      </c>
      <c r="AG21" s="100"/>
      <c r="AH21" s="100"/>
      <c r="AI21" s="100"/>
      <c r="AJ21" s="100"/>
      <c r="AK21" s="100"/>
      <c r="AL21" s="100">
        <f>R21*100/U21</f>
        <v>0.17961383026493041</v>
      </c>
      <c r="AM21" s="100"/>
      <c r="AN21" s="100"/>
      <c r="AO21" s="100">
        <f t="shared" si="0"/>
        <v>100.00000000000001</v>
      </c>
      <c r="AR21" s="72" t="s">
        <v>37</v>
      </c>
      <c r="AS21" s="90">
        <v>0.59145806467192918</v>
      </c>
      <c r="AT21" s="87"/>
    </row>
    <row r="22" spans="1:46" x14ac:dyDescent="0.3">
      <c r="A22" s="97">
        <v>243</v>
      </c>
      <c r="B22" s="98"/>
      <c r="C22" s="98"/>
      <c r="D22" s="98"/>
      <c r="E22" s="98"/>
      <c r="F22" s="98">
        <v>0.1</v>
      </c>
      <c r="G22" s="98">
        <v>2.2999999999999998</v>
      </c>
      <c r="H22" s="98"/>
      <c r="I22" s="98"/>
      <c r="J22" s="98"/>
      <c r="K22" s="98"/>
      <c r="L22" s="98"/>
      <c r="M22" s="98">
        <v>0.15</v>
      </c>
      <c r="N22" s="98"/>
      <c r="O22" s="98"/>
      <c r="P22" s="98"/>
      <c r="Q22" s="98"/>
      <c r="R22" s="98"/>
      <c r="S22" s="98"/>
      <c r="T22" s="98"/>
      <c r="U22" s="99">
        <f t="shared" si="1"/>
        <v>2.5499999999999998</v>
      </c>
      <c r="V22" s="100"/>
      <c r="W22" s="100"/>
      <c r="X22" s="100"/>
      <c r="Y22" s="100"/>
      <c r="Z22" s="100">
        <f t="shared" si="3"/>
        <v>3.9215686274509807</v>
      </c>
      <c r="AA22" s="100">
        <f>G22*100/U22</f>
        <v>90.196078431372541</v>
      </c>
      <c r="AB22" s="100"/>
      <c r="AC22" s="100"/>
      <c r="AD22" s="100"/>
      <c r="AE22" s="100"/>
      <c r="AF22" s="100"/>
      <c r="AG22" s="100">
        <f>M22*100/U22</f>
        <v>5.882352941176471</v>
      </c>
      <c r="AH22" s="100"/>
      <c r="AI22" s="100"/>
      <c r="AJ22" s="100"/>
      <c r="AK22" s="100"/>
      <c r="AL22" s="100"/>
      <c r="AM22" s="100"/>
      <c r="AN22" s="100"/>
      <c r="AO22" s="100">
        <f t="shared" si="0"/>
        <v>100</v>
      </c>
      <c r="AR22" s="72" t="s">
        <v>39</v>
      </c>
      <c r="AS22" s="90">
        <v>18.214936247723131</v>
      </c>
      <c r="AT22" s="87"/>
    </row>
    <row r="23" spans="1:46" x14ac:dyDescent="0.3">
      <c r="A23" s="97">
        <v>239</v>
      </c>
      <c r="B23" s="98"/>
      <c r="C23" s="98"/>
      <c r="D23" s="98">
        <v>3.8250000000000002</v>
      </c>
      <c r="E23" s="98"/>
      <c r="F23" s="98">
        <v>0.03</v>
      </c>
      <c r="G23" s="98"/>
      <c r="H23" s="98"/>
      <c r="I23" s="98"/>
      <c r="J23" s="98"/>
      <c r="K23" s="98"/>
      <c r="L23" s="98"/>
      <c r="M23" s="98"/>
      <c r="N23" s="98">
        <v>0.75</v>
      </c>
      <c r="O23" s="98"/>
      <c r="P23" s="98"/>
      <c r="Q23" s="98"/>
      <c r="R23" s="98">
        <v>5.0000000000000001E-3</v>
      </c>
      <c r="S23" s="98"/>
      <c r="T23" s="98"/>
      <c r="U23" s="99">
        <f t="shared" si="1"/>
        <v>4.6100000000000003</v>
      </c>
      <c r="V23" s="100"/>
      <c r="W23" s="100"/>
      <c r="X23" s="100">
        <f>D23*100/U23</f>
        <v>82.971800433839476</v>
      </c>
      <c r="Y23" s="100"/>
      <c r="Z23" s="100">
        <f t="shared" si="3"/>
        <v>0.65075921908893708</v>
      </c>
      <c r="AA23" s="100"/>
      <c r="AB23" s="100"/>
      <c r="AC23" s="100"/>
      <c r="AD23" s="100"/>
      <c r="AE23" s="100"/>
      <c r="AF23" s="100"/>
      <c r="AG23" s="100"/>
      <c r="AH23" s="100">
        <f>N23*100/U23</f>
        <v>16.268980477223426</v>
      </c>
      <c r="AI23" s="100"/>
      <c r="AJ23" s="100"/>
      <c r="AK23" s="100"/>
      <c r="AL23" s="100">
        <f>R23*100/U23</f>
        <v>0.10845986984815617</v>
      </c>
      <c r="AM23" s="100"/>
      <c r="AN23" s="100"/>
      <c r="AO23" s="100">
        <f t="shared" si="0"/>
        <v>100</v>
      </c>
      <c r="AR23" s="72" t="s">
        <v>41</v>
      </c>
      <c r="AS23" s="90">
        <v>0.63694267515923564</v>
      </c>
      <c r="AT23" s="87"/>
    </row>
    <row r="24" spans="1:46" x14ac:dyDescent="0.3">
      <c r="A24" s="97">
        <v>227</v>
      </c>
      <c r="B24" s="98"/>
      <c r="C24" s="98"/>
      <c r="D24" s="98"/>
      <c r="E24" s="98">
        <v>0.7</v>
      </c>
      <c r="F24" s="98">
        <v>2.5000000000000001E-2</v>
      </c>
      <c r="G24" s="98">
        <v>0.75</v>
      </c>
      <c r="H24" s="98"/>
      <c r="I24" s="98"/>
      <c r="J24" s="98"/>
      <c r="K24" s="98"/>
      <c r="L24" s="98"/>
      <c r="M24" s="98">
        <v>7.0000000000000001E-3</v>
      </c>
      <c r="N24" s="98"/>
      <c r="O24" s="98"/>
      <c r="P24" s="98"/>
      <c r="Q24" s="98"/>
      <c r="R24" s="98"/>
      <c r="S24" s="98"/>
      <c r="T24" s="98"/>
      <c r="U24" s="99">
        <f t="shared" si="1"/>
        <v>1.482</v>
      </c>
      <c r="V24" s="100"/>
      <c r="W24" s="100"/>
      <c r="X24" s="100"/>
      <c r="Y24" s="100">
        <f>E24*100/U24</f>
        <v>47.233468286099864</v>
      </c>
      <c r="Z24" s="100">
        <f t="shared" si="3"/>
        <v>1.6869095816464237</v>
      </c>
      <c r="AA24" s="100">
        <f t="shared" ref="AA24:AA30" si="4">G24*100/U24</f>
        <v>50.607287449392715</v>
      </c>
      <c r="AB24" s="100"/>
      <c r="AC24" s="100"/>
      <c r="AD24" s="100"/>
      <c r="AE24" s="100"/>
      <c r="AF24" s="100"/>
      <c r="AG24" s="100">
        <f>M24*100/U24</f>
        <v>0.47233468286099872</v>
      </c>
      <c r="AH24" s="100"/>
      <c r="AI24" s="100"/>
      <c r="AJ24" s="100"/>
      <c r="AK24" s="100"/>
      <c r="AL24" s="100"/>
      <c r="AM24" s="100"/>
      <c r="AN24" s="100"/>
      <c r="AO24" s="100">
        <f t="shared" si="0"/>
        <v>100</v>
      </c>
    </row>
    <row r="25" spans="1:46" x14ac:dyDescent="0.3">
      <c r="A25" s="97">
        <v>238</v>
      </c>
      <c r="B25" s="98"/>
      <c r="C25" s="98"/>
      <c r="D25" s="98"/>
      <c r="E25" s="98"/>
      <c r="F25" s="98">
        <v>1.7</v>
      </c>
      <c r="G25" s="98">
        <v>0.47499999999999998</v>
      </c>
      <c r="H25" s="98"/>
      <c r="I25" s="98"/>
      <c r="J25" s="98"/>
      <c r="K25" s="98"/>
      <c r="L25" s="98"/>
      <c r="M25" s="98"/>
      <c r="N25" s="98">
        <v>0.3</v>
      </c>
      <c r="O25" s="98"/>
      <c r="P25" s="98"/>
      <c r="Q25" s="98"/>
      <c r="R25" s="98">
        <v>7.4999999999999997E-2</v>
      </c>
      <c r="S25" s="98"/>
      <c r="T25" s="98"/>
      <c r="U25" s="99">
        <f t="shared" si="1"/>
        <v>2.5499999999999998</v>
      </c>
      <c r="V25" s="100"/>
      <c r="W25" s="100"/>
      <c r="X25" s="100"/>
      <c r="Y25" s="100"/>
      <c r="Z25" s="100">
        <f t="shared" si="3"/>
        <v>66.666666666666671</v>
      </c>
      <c r="AA25" s="100">
        <f t="shared" si="4"/>
        <v>18.627450980392158</v>
      </c>
      <c r="AB25" s="100"/>
      <c r="AC25" s="100"/>
      <c r="AD25" s="100"/>
      <c r="AE25" s="100"/>
      <c r="AF25" s="100"/>
      <c r="AG25" s="100"/>
      <c r="AH25" s="100">
        <f>N25*100/U25</f>
        <v>11.764705882352942</v>
      </c>
      <c r="AI25" s="100"/>
      <c r="AJ25" s="100"/>
      <c r="AK25" s="100"/>
      <c r="AL25" s="100">
        <f>R25*100/U25</f>
        <v>2.9411764705882355</v>
      </c>
      <c r="AM25" s="100"/>
      <c r="AN25" s="100"/>
      <c r="AO25" s="100">
        <f t="shared" si="0"/>
        <v>100</v>
      </c>
    </row>
    <row r="26" spans="1:46" x14ac:dyDescent="0.3">
      <c r="A26" s="97">
        <v>236</v>
      </c>
      <c r="B26" s="98"/>
      <c r="C26" s="98"/>
      <c r="D26" s="98"/>
      <c r="E26" s="98"/>
      <c r="F26" s="98"/>
      <c r="G26" s="98">
        <v>1.625</v>
      </c>
      <c r="H26" s="98"/>
      <c r="I26" s="98"/>
      <c r="J26" s="98"/>
      <c r="K26" s="98"/>
      <c r="L26" s="98"/>
      <c r="M26" s="98">
        <v>0.05</v>
      </c>
      <c r="N26" s="98"/>
      <c r="O26" s="98"/>
      <c r="P26" s="98"/>
      <c r="Q26" s="98"/>
      <c r="R26" s="98"/>
      <c r="S26" s="98"/>
      <c r="T26" s="98"/>
      <c r="U26" s="99">
        <f t="shared" si="1"/>
        <v>1.675</v>
      </c>
      <c r="V26" s="100"/>
      <c r="W26" s="100"/>
      <c r="X26" s="100"/>
      <c r="Y26" s="100"/>
      <c r="Z26" s="100"/>
      <c r="AA26" s="100">
        <f t="shared" si="4"/>
        <v>97.014925373134332</v>
      </c>
      <c r="AB26" s="100"/>
      <c r="AC26" s="100"/>
      <c r="AD26" s="100"/>
      <c r="AE26" s="100"/>
      <c r="AF26" s="100"/>
      <c r="AG26" s="100">
        <f>M26*100/U26</f>
        <v>2.9850746268656714</v>
      </c>
      <c r="AH26" s="100"/>
      <c r="AI26" s="100"/>
      <c r="AJ26" s="100"/>
      <c r="AK26" s="100"/>
      <c r="AL26" s="100"/>
      <c r="AM26" s="100"/>
      <c r="AN26" s="100"/>
      <c r="AO26" s="100">
        <f t="shared" si="0"/>
        <v>100</v>
      </c>
    </row>
    <row r="27" spans="1:46" x14ac:dyDescent="0.3">
      <c r="A27" s="97">
        <v>235</v>
      </c>
      <c r="B27" s="98"/>
      <c r="C27" s="98"/>
      <c r="D27" s="98"/>
      <c r="E27" s="98"/>
      <c r="F27" s="98">
        <v>0.1</v>
      </c>
      <c r="G27" s="98">
        <v>3.85</v>
      </c>
      <c r="H27" s="98"/>
      <c r="I27" s="98"/>
      <c r="J27" s="98"/>
      <c r="K27" s="98"/>
      <c r="L27" s="98"/>
      <c r="M27" s="98">
        <v>0.15</v>
      </c>
      <c r="N27" s="98">
        <v>2.5000000000000001E-2</v>
      </c>
      <c r="O27" s="98"/>
      <c r="P27" s="98"/>
      <c r="Q27" s="98"/>
      <c r="R27" s="98">
        <v>2.5000000000000001E-2</v>
      </c>
      <c r="S27" s="98"/>
      <c r="T27" s="98"/>
      <c r="U27" s="99">
        <f t="shared" si="1"/>
        <v>4.1500000000000012</v>
      </c>
      <c r="V27" s="100"/>
      <c r="W27" s="100"/>
      <c r="X27" s="100"/>
      <c r="Y27" s="100"/>
      <c r="Z27" s="100">
        <f>F27*100/U27</f>
        <v>2.4096385542168668</v>
      </c>
      <c r="AA27" s="100">
        <f t="shared" si="4"/>
        <v>92.771084337349365</v>
      </c>
      <c r="AB27" s="100"/>
      <c r="AC27" s="100"/>
      <c r="AD27" s="100"/>
      <c r="AE27" s="100"/>
      <c r="AF27" s="100"/>
      <c r="AG27" s="100">
        <f>M27*100/U27</f>
        <v>3.6144578313253</v>
      </c>
      <c r="AH27" s="100">
        <f>N27*100/U27</f>
        <v>0.6024096385542167</v>
      </c>
      <c r="AI27" s="100"/>
      <c r="AJ27" s="100"/>
      <c r="AK27" s="100"/>
      <c r="AL27" s="100">
        <f>R27*100/U27</f>
        <v>0.6024096385542167</v>
      </c>
      <c r="AM27" s="100"/>
      <c r="AN27" s="100"/>
      <c r="AO27" s="100">
        <f t="shared" si="0"/>
        <v>99.999999999999972</v>
      </c>
    </row>
    <row r="28" spans="1:46" x14ac:dyDescent="0.3">
      <c r="A28" s="97">
        <v>225</v>
      </c>
      <c r="B28" s="98"/>
      <c r="C28" s="98"/>
      <c r="D28" s="98"/>
      <c r="E28" s="98"/>
      <c r="F28" s="98">
        <v>1.2</v>
      </c>
      <c r="G28" s="98">
        <v>6.25</v>
      </c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9">
        <f t="shared" si="1"/>
        <v>7.45</v>
      </c>
      <c r="V28" s="100"/>
      <c r="W28" s="100"/>
      <c r="X28" s="100"/>
      <c r="Y28" s="100"/>
      <c r="Z28" s="100">
        <f>F28*100/U28</f>
        <v>16.107382550335569</v>
      </c>
      <c r="AA28" s="100">
        <f t="shared" si="4"/>
        <v>83.892617449664428</v>
      </c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>
        <f t="shared" si="0"/>
        <v>100</v>
      </c>
    </row>
    <row r="29" spans="1:46" x14ac:dyDescent="0.3">
      <c r="A29" s="97">
        <v>240</v>
      </c>
      <c r="B29" s="98"/>
      <c r="C29" s="98"/>
      <c r="D29" s="98">
        <v>0.22</v>
      </c>
      <c r="E29" s="98"/>
      <c r="F29" s="98">
        <v>0.05</v>
      </c>
      <c r="G29" s="98">
        <v>5.1630000000000003</v>
      </c>
      <c r="H29" s="98"/>
      <c r="I29" s="98"/>
      <c r="J29" s="98"/>
      <c r="K29" s="98"/>
      <c r="L29" s="98"/>
      <c r="M29" s="98">
        <v>2.5000000000000001E-2</v>
      </c>
      <c r="N29" s="98"/>
      <c r="O29" s="98"/>
      <c r="P29" s="98"/>
      <c r="Q29" s="98"/>
      <c r="R29" s="98"/>
      <c r="S29" s="98"/>
      <c r="T29" s="98"/>
      <c r="U29" s="99">
        <f t="shared" si="1"/>
        <v>5.4580000000000002</v>
      </c>
      <c r="V29" s="100"/>
      <c r="W29" s="100"/>
      <c r="X29" s="100">
        <f>D29*100/U29</f>
        <v>4.0307805056797363</v>
      </c>
      <c r="Y29" s="100"/>
      <c r="Z29" s="100">
        <f>F29*100/U29</f>
        <v>0.91608647856357639</v>
      </c>
      <c r="AA29" s="100">
        <f t="shared" si="4"/>
        <v>94.595089776474907</v>
      </c>
      <c r="AB29" s="100"/>
      <c r="AC29" s="100"/>
      <c r="AD29" s="100"/>
      <c r="AE29" s="100"/>
      <c r="AF29" s="100"/>
      <c r="AG29" s="100">
        <f>M29*100/U29</f>
        <v>0.45804323928178819</v>
      </c>
      <c r="AH29" s="100"/>
      <c r="AI29" s="100"/>
      <c r="AJ29" s="100"/>
      <c r="AK29" s="100"/>
      <c r="AL29" s="100"/>
      <c r="AM29" s="100"/>
      <c r="AN29" s="100"/>
      <c r="AO29" s="100">
        <f t="shared" si="0"/>
        <v>100.00000000000001</v>
      </c>
    </row>
    <row r="30" spans="1:46" x14ac:dyDescent="0.3">
      <c r="A30" s="97">
        <v>250</v>
      </c>
      <c r="B30" s="98"/>
      <c r="C30" s="98"/>
      <c r="D30" s="98"/>
      <c r="E30" s="98"/>
      <c r="F30" s="98">
        <v>0.05</v>
      </c>
      <c r="G30" s="98">
        <v>7.5</v>
      </c>
      <c r="H30" s="98"/>
      <c r="I30" s="98"/>
      <c r="J30" s="98"/>
      <c r="K30" s="98"/>
      <c r="L30" s="98"/>
      <c r="M30" s="98">
        <v>0.10299999999999999</v>
      </c>
      <c r="N30" s="98"/>
      <c r="O30" s="98"/>
      <c r="P30" s="98"/>
      <c r="Q30" s="98"/>
      <c r="R30" s="98"/>
      <c r="S30" s="98"/>
      <c r="T30" s="98"/>
      <c r="U30" s="99">
        <f t="shared" si="1"/>
        <v>7.6529999999999996</v>
      </c>
      <c r="V30" s="100"/>
      <c r="W30" s="100"/>
      <c r="X30" s="100"/>
      <c r="Y30" s="100"/>
      <c r="Z30" s="100">
        <f>F30*100/U30</f>
        <v>0.65333856004181368</v>
      </c>
      <c r="AA30" s="100">
        <f t="shared" si="4"/>
        <v>98.000784006272056</v>
      </c>
      <c r="AB30" s="100"/>
      <c r="AC30" s="100"/>
      <c r="AD30" s="100"/>
      <c r="AE30" s="100"/>
      <c r="AF30" s="100"/>
      <c r="AG30" s="100">
        <f>M30*100/U30</f>
        <v>1.3458774336861361</v>
      </c>
      <c r="AH30" s="100"/>
      <c r="AI30" s="100"/>
      <c r="AJ30" s="100"/>
      <c r="AK30" s="100"/>
      <c r="AL30" s="100"/>
      <c r="AM30" s="100"/>
      <c r="AN30" s="100"/>
      <c r="AO30" s="100">
        <f t="shared" si="0"/>
        <v>100.00000000000001</v>
      </c>
    </row>
    <row r="31" spans="1:46" x14ac:dyDescent="0.3">
      <c r="A31" s="97">
        <v>221</v>
      </c>
      <c r="B31" s="98"/>
      <c r="C31" s="98">
        <v>3.8530000000000002</v>
      </c>
      <c r="D31" s="98"/>
      <c r="E31" s="98"/>
      <c r="F31" s="98">
        <v>4.7E-2</v>
      </c>
      <c r="G31" s="98"/>
      <c r="H31" s="98"/>
      <c r="I31" s="98"/>
      <c r="J31" s="98"/>
      <c r="K31" s="98">
        <v>4.0000000000000001E-3</v>
      </c>
      <c r="L31" s="98"/>
      <c r="M31" s="98">
        <v>1E-3</v>
      </c>
      <c r="N31" s="98"/>
      <c r="O31" s="98"/>
      <c r="P31" s="98"/>
      <c r="Q31" s="98"/>
      <c r="R31" s="98"/>
      <c r="S31" s="98"/>
      <c r="T31" s="98"/>
      <c r="U31" s="99">
        <f t="shared" si="1"/>
        <v>3.9050000000000002</v>
      </c>
      <c r="V31" s="100"/>
      <c r="W31" s="100">
        <f>C31*100/U31</f>
        <v>98.668373879641479</v>
      </c>
      <c r="X31" s="100"/>
      <c r="Y31" s="100"/>
      <c r="Z31" s="100">
        <f>F31*100/U31</f>
        <v>1.2035851472471191</v>
      </c>
      <c r="AA31" s="100"/>
      <c r="AB31" s="100"/>
      <c r="AC31" s="100"/>
      <c r="AD31" s="100"/>
      <c r="AE31" s="100">
        <f>K31*100/U31</f>
        <v>0.10243277848911651</v>
      </c>
      <c r="AF31" s="100"/>
      <c r="AG31" s="100">
        <f>M31*100/U31</f>
        <v>2.5608194622279128E-2</v>
      </c>
      <c r="AH31" s="100"/>
      <c r="AI31" s="100"/>
      <c r="AJ31" s="100"/>
      <c r="AK31" s="100"/>
      <c r="AL31" s="100"/>
      <c r="AM31" s="100"/>
      <c r="AN31" s="100"/>
      <c r="AO31" s="100">
        <f t="shared" si="0"/>
        <v>100</v>
      </c>
    </row>
    <row r="32" spans="1:46" x14ac:dyDescent="0.3">
      <c r="A32" s="97">
        <v>220</v>
      </c>
      <c r="B32" s="98"/>
      <c r="C32" s="98">
        <v>3.7250000000000001</v>
      </c>
      <c r="D32" s="98"/>
      <c r="E32" s="98"/>
      <c r="F32" s="98"/>
      <c r="G32" s="98"/>
      <c r="H32" s="98"/>
      <c r="I32" s="98"/>
      <c r="J32" s="98"/>
      <c r="K32" s="98"/>
      <c r="L32" s="98">
        <v>0.1</v>
      </c>
      <c r="M32" s="98"/>
      <c r="N32" s="98"/>
      <c r="O32" s="98"/>
      <c r="P32" s="98"/>
      <c r="Q32" s="98"/>
      <c r="R32" s="98"/>
      <c r="S32" s="98"/>
      <c r="T32" s="98"/>
      <c r="U32" s="99">
        <f t="shared" si="1"/>
        <v>3.8250000000000002</v>
      </c>
      <c r="V32" s="100"/>
      <c r="W32" s="100">
        <f>C32*100/U32</f>
        <v>97.385620915032675</v>
      </c>
      <c r="X32" s="100"/>
      <c r="Y32" s="100"/>
      <c r="Z32" s="100"/>
      <c r="AA32" s="100"/>
      <c r="AB32" s="100"/>
      <c r="AC32" s="100"/>
      <c r="AD32" s="100"/>
      <c r="AE32" s="100"/>
      <c r="AF32" s="100">
        <f>L32*100/U32</f>
        <v>2.6143790849673203</v>
      </c>
      <c r="AG32" s="100"/>
      <c r="AH32" s="100"/>
      <c r="AI32" s="100"/>
      <c r="AJ32" s="100"/>
      <c r="AK32" s="100"/>
      <c r="AL32" s="100"/>
      <c r="AM32" s="100"/>
      <c r="AN32" s="100"/>
      <c r="AO32" s="100">
        <f t="shared" si="0"/>
        <v>100</v>
      </c>
    </row>
    <row r="33" spans="1:41" x14ac:dyDescent="0.3">
      <c r="A33" s="97">
        <v>247</v>
      </c>
      <c r="B33" s="98"/>
      <c r="C33" s="98"/>
      <c r="D33" s="98"/>
      <c r="E33" s="98"/>
      <c r="F33" s="98">
        <v>4.1000000000000002E-2</v>
      </c>
      <c r="G33" s="98">
        <v>1.62</v>
      </c>
      <c r="H33" s="98"/>
      <c r="I33" s="98"/>
      <c r="J33" s="98"/>
      <c r="K33" s="98"/>
      <c r="L33" s="98"/>
      <c r="M33" s="98">
        <v>3.4000000000000002E-2</v>
      </c>
      <c r="N33" s="98"/>
      <c r="O33" s="98"/>
      <c r="P33" s="98">
        <v>2E-3</v>
      </c>
      <c r="Q33" s="98"/>
      <c r="R33" s="98"/>
      <c r="S33" s="98"/>
      <c r="T33" s="98"/>
      <c r="U33" s="99">
        <f t="shared" si="1"/>
        <v>1.6970000000000001</v>
      </c>
      <c r="V33" s="100"/>
      <c r="W33" s="100"/>
      <c r="X33" s="100"/>
      <c r="Y33" s="100"/>
      <c r="Z33" s="100">
        <f>F33*100/U33</f>
        <v>2.416028285209193</v>
      </c>
      <c r="AA33" s="100">
        <f>G33*100/U33</f>
        <v>95.462581025338835</v>
      </c>
      <c r="AB33" s="100"/>
      <c r="AC33" s="100"/>
      <c r="AD33" s="100"/>
      <c r="AE33" s="100"/>
      <c r="AF33" s="100"/>
      <c r="AG33" s="100">
        <f>M33*100/U33</f>
        <v>2.0035356511490869</v>
      </c>
      <c r="AH33" s="100"/>
      <c r="AI33" s="100"/>
      <c r="AJ33" s="100">
        <f>P33*100/U33</f>
        <v>0.11785503830288745</v>
      </c>
      <c r="AK33" s="100"/>
      <c r="AL33" s="100"/>
      <c r="AM33" s="100"/>
      <c r="AN33" s="100"/>
      <c r="AO33" s="100">
        <f t="shared" si="0"/>
        <v>100.00000000000001</v>
      </c>
    </row>
    <row r="34" spans="1:41" x14ac:dyDescent="0.3">
      <c r="A34" s="97">
        <v>224</v>
      </c>
      <c r="B34" s="98"/>
      <c r="C34" s="98"/>
      <c r="D34" s="98"/>
      <c r="E34" s="98"/>
      <c r="F34" s="98">
        <v>2.5000000000000001E-2</v>
      </c>
      <c r="G34" s="98">
        <v>2.4079999999999999</v>
      </c>
      <c r="H34" s="98"/>
      <c r="I34" s="98"/>
      <c r="J34" s="98"/>
      <c r="K34" s="98"/>
      <c r="L34" s="98"/>
      <c r="M34" s="98">
        <v>2E-3</v>
      </c>
      <c r="N34" s="98"/>
      <c r="O34" s="98"/>
      <c r="P34" s="98"/>
      <c r="Q34" s="98"/>
      <c r="R34" s="98">
        <v>2E-3</v>
      </c>
      <c r="S34" s="98"/>
      <c r="T34" s="98"/>
      <c r="U34" s="99">
        <f t="shared" si="1"/>
        <v>2.4369999999999994</v>
      </c>
      <c r="V34" s="100"/>
      <c r="W34" s="100"/>
      <c r="X34" s="100"/>
      <c r="Y34" s="100"/>
      <c r="Z34" s="100">
        <f>F34*100/U34</f>
        <v>1.0258514567090689</v>
      </c>
      <c r="AA34" s="100">
        <f>G34*100/U34</f>
        <v>98.810012310217502</v>
      </c>
      <c r="AB34" s="100"/>
      <c r="AC34" s="100"/>
      <c r="AD34" s="100"/>
      <c r="AE34" s="100"/>
      <c r="AF34" s="100"/>
      <c r="AG34" s="100">
        <f>M34*100/U34</f>
        <v>8.2068116536725508E-2</v>
      </c>
      <c r="AH34" s="100"/>
      <c r="AI34" s="100"/>
      <c r="AJ34" s="100"/>
      <c r="AK34" s="100"/>
      <c r="AL34" s="100">
        <f>R34*100/U34</f>
        <v>8.2068116536725508E-2</v>
      </c>
      <c r="AM34" s="100"/>
      <c r="AN34" s="100"/>
      <c r="AO34" s="100">
        <f t="shared" ref="AO34:AO65" si="5">SUM(V34:AN34)</f>
        <v>100.00000000000003</v>
      </c>
    </row>
    <row r="35" spans="1:41" x14ac:dyDescent="0.3">
      <c r="A35" s="97">
        <v>222</v>
      </c>
      <c r="B35" s="98"/>
      <c r="C35" s="98"/>
      <c r="D35" s="98"/>
      <c r="E35" s="98"/>
      <c r="F35" s="98">
        <v>0.03</v>
      </c>
      <c r="G35" s="98">
        <v>3.823</v>
      </c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9">
        <f t="shared" si="1"/>
        <v>3.8529999999999998</v>
      </c>
      <c r="V35" s="100"/>
      <c r="W35" s="100"/>
      <c r="X35" s="100"/>
      <c r="Y35" s="100"/>
      <c r="Z35" s="100">
        <f>F35*100/U35</f>
        <v>0.77861406696080981</v>
      </c>
      <c r="AA35" s="100">
        <f>G35*100/U35</f>
        <v>99.221385933039201</v>
      </c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>
        <f t="shared" si="5"/>
        <v>100.00000000000001</v>
      </c>
    </row>
    <row r="36" spans="1:41" x14ac:dyDescent="0.3">
      <c r="A36" s="97">
        <v>136</v>
      </c>
      <c r="B36" s="98">
        <v>0.42499999999999999</v>
      </c>
      <c r="C36" s="98"/>
      <c r="D36" s="98"/>
      <c r="E36" s="98"/>
      <c r="F36" s="98">
        <v>2.9510000000000001</v>
      </c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>
        <f t="shared" si="1"/>
        <v>3.3759999999999999</v>
      </c>
      <c r="V36" s="100">
        <f>B36*100/U36</f>
        <v>12.588862559241706</v>
      </c>
      <c r="W36" s="100"/>
      <c r="X36" s="100"/>
      <c r="Y36" s="100"/>
      <c r="Z36" s="100">
        <f>F36*100/U36</f>
        <v>87.41113744075831</v>
      </c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>
        <f t="shared" si="5"/>
        <v>100.00000000000001</v>
      </c>
    </row>
    <row r="37" spans="1:41" x14ac:dyDescent="0.3">
      <c r="A37" s="97">
        <v>213</v>
      </c>
      <c r="B37" s="98"/>
      <c r="C37" s="98"/>
      <c r="D37" s="98">
        <v>4.423</v>
      </c>
      <c r="E37" s="98"/>
      <c r="F37" s="98">
        <v>4.5999999999999999E-2</v>
      </c>
      <c r="G37" s="98">
        <v>0.80200000000000005</v>
      </c>
      <c r="H37" s="98"/>
      <c r="I37" s="98"/>
      <c r="J37" s="98"/>
      <c r="K37" s="98"/>
      <c r="L37" s="98">
        <v>0.05</v>
      </c>
      <c r="M37" s="98"/>
      <c r="N37" s="98"/>
      <c r="O37" s="98">
        <v>0.125</v>
      </c>
      <c r="P37" s="98"/>
      <c r="Q37" s="98"/>
      <c r="R37" s="98"/>
      <c r="S37" s="98"/>
      <c r="T37" s="98"/>
      <c r="U37" s="99">
        <f t="shared" si="1"/>
        <v>5.4460000000000006</v>
      </c>
      <c r="V37" s="100"/>
      <c r="W37" s="100"/>
      <c r="X37" s="100">
        <f>D37*100/U37</f>
        <v>81.215571061329413</v>
      </c>
      <c r="Y37" s="100"/>
      <c r="Z37" s="100">
        <f>F37*100/U37</f>
        <v>0.84465662871832525</v>
      </c>
      <c r="AA37" s="100">
        <f>G37*100/U37</f>
        <v>14.726404700697758</v>
      </c>
      <c r="AB37" s="100"/>
      <c r="AC37" s="100"/>
      <c r="AD37" s="100"/>
      <c r="AE37" s="100"/>
      <c r="AF37" s="100">
        <f>L37*100/U37</f>
        <v>0.91810503121557097</v>
      </c>
      <c r="AG37" s="100"/>
      <c r="AH37" s="100"/>
      <c r="AI37" s="100">
        <f>O37*100/U37</f>
        <v>2.2952625780389275</v>
      </c>
      <c r="AJ37" s="100"/>
      <c r="AK37" s="100"/>
      <c r="AL37" s="100"/>
      <c r="AM37" s="100"/>
      <c r="AN37" s="100"/>
      <c r="AO37" s="100">
        <f t="shared" si="5"/>
        <v>100</v>
      </c>
    </row>
    <row r="38" spans="1:41" x14ac:dyDescent="0.3">
      <c r="A38" s="97">
        <v>212</v>
      </c>
      <c r="B38" s="98"/>
      <c r="C38" s="98"/>
      <c r="D38" s="98"/>
      <c r="E38" s="98">
        <v>1.25</v>
      </c>
      <c r="F38" s="98"/>
      <c r="G38" s="98">
        <v>0.127</v>
      </c>
      <c r="H38" s="98">
        <v>3.0000000000000001E-3</v>
      </c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9">
        <f t="shared" si="1"/>
        <v>1.38</v>
      </c>
      <c r="V38" s="100"/>
      <c r="W38" s="100"/>
      <c r="X38" s="100"/>
      <c r="Y38" s="100">
        <f>E38*100/U38</f>
        <v>90.579710144927546</v>
      </c>
      <c r="Z38" s="100"/>
      <c r="AA38" s="100">
        <f>G38*100/U38</f>
        <v>9.2028985507246386</v>
      </c>
      <c r="AB38" s="100">
        <f>H38*100/U38</f>
        <v>0.21739130434782611</v>
      </c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>
        <f t="shared" si="5"/>
        <v>100.00000000000001</v>
      </c>
    </row>
    <row r="39" spans="1:41" x14ac:dyDescent="0.3">
      <c r="A39" s="97">
        <v>209</v>
      </c>
      <c r="B39" s="98"/>
      <c r="C39" s="98"/>
      <c r="D39" s="98"/>
      <c r="E39" s="98"/>
      <c r="F39" s="98"/>
      <c r="G39" s="98">
        <v>1.27</v>
      </c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>
        <v>5.0000000000000001E-3</v>
      </c>
      <c r="S39" s="98"/>
      <c r="T39" s="98"/>
      <c r="U39" s="99">
        <f t="shared" si="1"/>
        <v>1.2749999999999999</v>
      </c>
      <c r="V39" s="100"/>
      <c r="W39" s="100"/>
      <c r="X39" s="100"/>
      <c r="Y39" s="100"/>
      <c r="Z39" s="100"/>
      <c r="AA39" s="100">
        <f>G39*100/U39</f>
        <v>99.607843137254903</v>
      </c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>
        <f>R39*100/U39</f>
        <v>0.39215686274509809</v>
      </c>
      <c r="AM39" s="100"/>
      <c r="AN39" s="100"/>
      <c r="AO39" s="100">
        <f t="shared" si="5"/>
        <v>100</v>
      </c>
    </row>
    <row r="40" spans="1:41" x14ac:dyDescent="0.3">
      <c r="A40" s="97">
        <v>45</v>
      </c>
      <c r="B40" s="98"/>
      <c r="C40" s="98"/>
      <c r="D40" s="98">
        <v>1.83</v>
      </c>
      <c r="E40" s="98"/>
      <c r="F40" s="98">
        <v>5.0000000000000001E-3</v>
      </c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>
        <v>7.0000000000000001E-3</v>
      </c>
      <c r="R40" s="98"/>
      <c r="S40" s="98"/>
      <c r="T40" s="98"/>
      <c r="U40" s="99">
        <f t="shared" si="1"/>
        <v>1.8419999999999999</v>
      </c>
      <c r="V40" s="100"/>
      <c r="W40" s="100"/>
      <c r="X40" s="100">
        <f>D40*100/U40</f>
        <v>99.348534201954408</v>
      </c>
      <c r="Y40" s="100"/>
      <c r="Z40" s="100">
        <f>F40*100/U40</f>
        <v>0.2714440825190011</v>
      </c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>
        <f>Q40*100/U40</f>
        <v>0.38002171552660158</v>
      </c>
      <c r="AL40" s="100"/>
      <c r="AM40" s="100"/>
      <c r="AN40" s="100"/>
      <c r="AO40" s="100">
        <f t="shared" si="5"/>
        <v>100</v>
      </c>
    </row>
    <row r="41" spans="1:41" x14ac:dyDescent="0.3">
      <c r="A41" s="97">
        <v>219</v>
      </c>
      <c r="B41" s="98"/>
      <c r="C41" s="98"/>
      <c r="D41" s="98"/>
      <c r="E41" s="98"/>
      <c r="F41" s="98"/>
      <c r="G41" s="98">
        <v>0.25</v>
      </c>
      <c r="H41" s="98"/>
      <c r="I41" s="98">
        <v>3</v>
      </c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9">
        <f t="shared" si="1"/>
        <v>3.25</v>
      </c>
      <c r="V41" s="100"/>
      <c r="W41" s="100"/>
      <c r="X41" s="100"/>
      <c r="Y41" s="100"/>
      <c r="Z41" s="100"/>
      <c r="AA41" s="100">
        <f t="shared" ref="AA41:AA46" si="6">G41*100/U41</f>
        <v>7.6923076923076925</v>
      </c>
      <c r="AB41" s="100"/>
      <c r="AC41" s="100">
        <f>I41*100/U41</f>
        <v>92.307692307692307</v>
      </c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>
        <f t="shared" si="5"/>
        <v>100</v>
      </c>
    </row>
    <row r="42" spans="1:41" x14ac:dyDescent="0.3">
      <c r="A42" s="97">
        <v>53</v>
      </c>
      <c r="B42" s="98"/>
      <c r="C42" s="98"/>
      <c r="D42" s="98"/>
      <c r="E42" s="98"/>
      <c r="F42" s="98">
        <v>2</v>
      </c>
      <c r="G42" s="98">
        <v>2.218</v>
      </c>
      <c r="H42" s="98"/>
      <c r="I42" s="98"/>
      <c r="J42" s="98"/>
      <c r="K42" s="98"/>
      <c r="L42" s="98"/>
      <c r="M42" s="98">
        <v>0.02</v>
      </c>
      <c r="N42" s="98"/>
      <c r="O42" s="98"/>
      <c r="P42" s="98">
        <v>8.9999999999999993E-3</v>
      </c>
      <c r="Q42" s="98"/>
      <c r="R42" s="98"/>
      <c r="S42" s="98"/>
      <c r="T42" s="98"/>
      <c r="U42" s="99">
        <f t="shared" si="1"/>
        <v>4.2469999999999999</v>
      </c>
      <c r="V42" s="100"/>
      <c r="W42" s="100"/>
      <c r="X42" s="100"/>
      <c r="Y42" s="100"/>
      <c r="Z42" s="100">
        <f>F42*100/U42</f>
        <v>47.092064987049682</v>
      </c>
      <c r="AA42" s="100">
        <f t="shared" si="6"/>
        <v>52.225100070638099</v>
      </c>
      <c r="AB42" s="100"/>
      <c r="AC42" s="100"/>
      <c r="AD42" s="100"/>
      <c r="AE42" s="100"/>
      <c r="AF42" s="100"/>
      <c r="AG42" s="100">
        <f>M42*100/U42</f>
        <v>0.47092064987049681</v>
      </c>
      <c r="AH42" s="100"/>
      <c r="AI42" s="100"/>
      <c r="AJ42" s="100">
        <f>P42*100/U42</f>
        <v>0.21191429244172355</v>
      </c>
      <c r="AK42" s="100"/>
      <c r="AL42" s="100"/>
      <c r="AM42" s="100"/>
      <c r="AN42" s="100"/>
      <c r="AO42" s="100">
        <f t="shared" si="5"/>
        <v>100</v>
      </c>
    </row>
    <row r="43" spans="1:41" x14ac:dyDescent="0.3">
      <c r="A43" s="97">
        <v>241</v>
      </c>
      <c r="B43" s="98"/>
      <c r="C43" s="98"/>
      <c r="D43" s="98"/>
      <c r="E43" s="98">
        <v>3.0550000000000002</v>
      </c>
      <c r="F43" s="98"/>
      <c r="G43" s="98">
        <v>1.125</v>
      </c>
      <c r="H43" s="98"/>
      <c r="I43" s="98"/>
      <c r="J43" s="98"/>
      <c r="K43" s="98"/>
      <c r="L43" s="98"/>
      <c r="M43" s="98">
        <v>3.0000000000000001E-3</v>
      </c>
      <c r="N43" s="98"/>
      <c r="O43" s="98"/>
      <c r="P43" s="98"/>
      <c r="Q43" s="98"/>
      <c r="R43" s="98"/>
      <c r="S43" s="98"/>
      <c r="T43" s="98"/>
      <c r="U43" s="99">
        <f t="shared" si="1"/>
        <v>4.1829999999999998</v>
      </c>
      <c r="V43" s="100"/>
      <c r="W43" s="100"/>
      <c r="X43" s="100"/>
      <c r="Y43" s="100">
        <f>E43*100/U43</f>
        <v>73.033707865168537</v>
      </c>
      <c r="Z43" s="100"/>
      <c r="AA43" s="100">
        <f t="shared" si="6"/>
        <v>26.894573272770739</v>
      </c>
      <c r="AB43" s="100"/>
      <c r="AC43" s="100"/>
      <c r="AD43" s="100"/>
      <c r="AE43" s="100"/>
      <c r="AF43" s="100"/>
      <c r="AG43" s="100">
        <f>M43*100/U43</f>
        <v>7.1718862060721963E-2</v>
      </c>
      <c r="AH43" s="100"/>
      <c r="AI43" s="100"/>
      <c r="AJ43" s="100"/>
      <c r="AK43" s="100"/>
      <c r="AL43" s="100"/>
      <c r="AM43" s="100"/>
      <c r="AN43" s="100"/>
      <c r="AO43" s="100">
        <f t="shared" si="5"/>
        <v>100</v>
      </c>
    </row>
    <row r="44" spans="1:41" x14ac:dyDescent="0.3">
      <c r="A44" s="97">
        <v>135</v>
      </c>
      <c r="B44" s="98"/>
      <c r="C44" s="98"/>
      <c r="D44" s="98"/>
      <c r="E44" s="98"/>
      <c r="F44" s="98"/>
      <c r="G44" s="98">
        <v>1.01</v>
      </c>
      <c r="H44" s="98"/>
      <c r="I44" s="98">
        <v>2.2999999999999998</v>
      </c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>
        <f t="shared" si="1"/>
        <v>3.3099999999999996</v>
      </c>
      <c r="V44" s="100"/>
      <c r="W44" s="100"/>
      <c r="X44" s="100"/>
      <c r="Y44" s="100"/>
      <c r="Z44" s="100"/>
      <c r="AA44" s="100">
        <f t="shared" si="6"/>
        <v>30.513595166163146</v>
      </c>
      <c r="AB44" s="102">
        <f>I44*100/U44</f>
        <v>69.486404833836858</v>
      </c>
      <c r="AC44" s="100">
        <f>I44*Q100</f>
        <v>0</v>
      </c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>
        <f t="shared" si="5"/>
        <v>100</v>
      </c>
    </row>
    <row r="45" spans="1:41" x14ac:dyDescent="0.3">
      <c r="A45" s="97">
        <v>137</v>
      </c>
      <c r="B45" s="98"/>
      <c r="C45" s="98"/>
      <c r="D45" s="98"/>
      <c r="E45" s="98">
        <v>2.7</v>
      </c>
      <c r="F45" s="98"/>
      <c r="G45" s="98">
        <v>0.85</v>
      </c>
      <c r="H45" s="98"/>
      <c r="I45" s="98"/>
      <c r="J45" s="98"/>
      <c r="K45" s="98"/>
      <c r="L45" s="98"/>
      <c r="M45" s="98">
        <v>0.2</v>
      </c>
      <c r="N45" s="98"/>
      <c r="O45" s="98"/>
      <c r="P45" s="98"/>
      <c r="Q45" s="98"/>
      <c r="R45" s="98"/>
      <c r="S45" s="98"/>
      <c r="T45" s="98"/>
      <c r="U45" s="99">
        <f t="shared" si="1"/>
        <v>3.7500000000000004</v>
      </c>
      <c r="V45" s="100"/>
      <c r="W45" s="100"/>
      <c r="X45" s="100"/>
      <c r="Y45" s="100">
        <f>E45*100/U45</f>
        <v>71.999999999999986</v>
      </c>
      <c r="Z45" s="100"/>
      <c r="AA45" s="100">
        <f t="shared" si="6"/>
        <v>22.666666666666664</v>
      </c>
      <c r="AB45" s="100"/>
      <c r="AC45" s="100"/>
      <c r="AD45" s="100"/>
      <c r="AE45" s="100"/>
      <c r="AF45" s="100"/>
      <c r="AG45" s="100">
        <f>M45*100/U45</f>
        <v>5.333333333333333</v>
      </c>
      <c r="AH45" s="100"/>
      <c r="AI45" s="100"/>
      <c r="AJ45" s="100"/>
      <c r="AK45" s="100"/>
      <c r="AL45" s="100"/>
      <c r="AM45" s="100"/>
      <c r="AN45" s="100"/>
      <c r="AO45" s="100">
        <f t="shared" si="5"/>
        <v>99.999999999999986</v>
      </c>
    </row>
    <row r="46" spans="1:41" x14ac:dyDescent="0.3">
      <c r="A46" s="97">
        <v>55</v>
      </c>
      <c r="B46" s="98"/>
      <c r="C46" s="98">
        <v>0.80600000000000005</v>
      </c>
      <c r="D46" s="98"/>
      <c r="E46" s="98"/>
      <c r="F46" s="98">
        <v>0.03</v>
      </c>
      <c r="G46" s="98">
        <v>0.52500000000000002</v>
      </c>
      <c r="H46" s="98"/>
      <c r="I46" s="98"/>
      <c r="J46" s="98"/>
      <c r="K46" s="98"/>
      <c r="L46" s="98">
        <v>9.8000000000000004E-2</v>
      </c>
      <c r="M46" s="98"/>
      <c r="N46" s="98"/>
      <c r="O46" s="98"/>
      <c r="P46" s="98"/>
      <c r="Q46" s="98"/>
      <c r="R46" s="98"/>
      <c r="S46" s="98"/>
      <c r="T46" s="98"/>
      <c r="U46" s="99">
        <f t="shared" si="1"/>
        <v>1.4590000000000003</v>
      </c>
      <c r="V46" s="100"/>
      <c r="W46" s="100">
        <f>C46*100/U46</f>
        <v>55.243317340644275</v>
      </c>
      <c r="X46" s="100"/>
      <c r="Y46" s="100"/>
      <c r="Z46" s="100">
        <f>F46*100/U46</f>
        <v>2.0562028786840298</v>
      </c>
      <c r="AA46" s="100">
        <f t="shared" si="6"/>
        <v>35.98355037697052</v>
      </c>
      <c r="AB46" s="100"/>
      <c r="AC46" s="100"/>
      <c r="AD46" s="100"/>
      <c r="AE46" s="100"/>
      <c r="AF46" s="100">
        <f>L46*100/U46</f>
        <v>6.7169294037011644</v>
      </c>
      <c r="AG46" s="100"/>
      <c r="AH46" s="100"/>
      <c r="AI46" s="100"/>
      <c r="AJ46" s="100"/>
      <c r="AK46" s="100"/>
      <c r="AL46" s="100"/>
      <c r="AM46" s="100"/>
      <c r="AN46" s="100"/>
      <c r="AO46" s="100">
        <f t="shared" si="5"/>
        <v>99.999999999999986</v>
      </c>
    </row>
    <row r="47" spans="1:41" x14ac:dyDescent="0.3">
      <c r="A47" s="97" t="s">
        <v>66</v>
      </c>
      <c r="B47" s="98">
        <v>1</v>
      </c>
      <c r="C47" s="98"/>
      <c r="D47" s="98"/>
      <c r="E47" s="98"/>
      <c r="F47" s="98">
        <v>1.5</v>
      </c>
      <c r="G47" s="98"/>
      <c r="H47" s="98"/>
      <c r="I47" s="98"/>
      <c r="J47" s="98"/>
      <c r="K47" s="98"/>
      <c r="L47" s="98">
        <v>0.01</v>
      </c>
      <c r="M47" s="98"/>
      <c r="N47" s="98"/>
      <c r="O47" s="98"/>
      <c r="P47" s="98"/>
      <c r="Q47" s="98"/>
      <c r="R47" s="98">
        <v>5.0000000000000001E-3</v>
      </c>
      <c r="S47" s="98"/>
      <c r="T47" s="98"/>
      <c r="U47" s="99">
        <f t="shared" si="1"/>
        <v>2.5149999999999997</v>
      </c>
      <c r="V47" s="100">
        <f>B47*100/U47</f>
        <v>39.761431411530822</v>
      </c>
      <c r="W47" s="100"/>
      <c r="X47" s="100"/>
      <c r="Y47" s="100"/>
      <c r="Z47" s="100">
        <f>F47*100/U47</f>
        <v>59.642147117296233</v>
      </c>
      <c r="AA47" s="100"/>
      <c r="AB47" s="100"/>
      <c r="AC47" s="100"/>
      <c r="AD47" s="100"/>
      <c r="AE47" s="100"/>
      <c r="AF47" s="100">
        <f>L47*100/U47</f>
        <v>0.39761431411530818</v>
      </c>
      <c r="AG47" s="100"/>
      <c r="AH47" s="100"/>
      <c r="AI47" s="100"/>
      <c r="AJ47" s="100"/>
      <c r="AK47" s="100"/>
      <c r="AL47" s="100">
        <f>R47*100/U47</f>
        <v>0.19880715705765409</v>
      </c>
      <c r="AM47" s="100"/>
      <c r="AN47" s="100"/>
      <c r="AO47" s="100">
        <f t="shared" si="5"/>
        <v>100.00000000000001</v>
      </c>
    </row>
    <row r="48" spans="1:41" x14ac:dyDescent="0.3">
      <c r="A48" s="97">
        <v>237</v>
      </c>
      <c r="B48" s="98"/>
      <c r="C48" s="98"/>
      <c r="D48" s="98"/>
      <c r="E48" s="98"/>
      <c r="F48" s="98"/>
      <c r="G48" s="98">
        <v>3.7250000000000001</v>
      </c>
      <c r="H48" s="98"/>
      <c r="I48" s="98"/>
      <c r="J48" s="98"/>
      <c r="K48" s="98"/>
      <c r="L48" s="98"/>
      <c r="M48" s="98">
        <v>5.0000000000000001E-3</v>
      </c>
      <c r="N48" s="98"/>
      <c r="O48" s="98"/>
      <c r="P48" s="98"/>
      <c r="Q48" s="98"/>
      <c r="R48" s="98"/>
      <c r="S48" s="98"/>
      <c r="T48" s="98"/>
      <c r="U48" s="99">
        <f t="shared" si="1"/>
        <v>3.73</v>
      </c>
      <c r="V48" s="100"/>
      <c r="W48" s="100"/>
      <c r="X48" s="100"/>
      <c r="Y48" s="100"/>
      <c r="Z48" s="100"/>
      <c r="AA48" s="100">
        <f>G48*100/U48</f>
        <v>99.865951742627345</v>
      </c>
      <c r="AB48" s="100"/>
      <c r="AC48" s="100"/>
      <c r="AD48" s="100"/>
      <c r="AE48" s="100"/>
      <c r="AF48" s="100"/>
      <c r="AG48" s="100">
        <f>M48*100/U48</f>
        <v>0.13404825737265416</v>
      </c>
      <c r="AH48" s="100"/>
      <c r="AI48" s="100"/>
      <c r="AJ48" s="100"/>
      <c r="AK48" s="100"/>
      <c r="AL48" s="100"/>
      <c r="AM48" s="100"/>
      <c r="AN48" s="100"/>
      <c r="AO48" s="100">
        <f t="shared" si="5"/>
        <v>100</v>
      </c>
    </row>
    <row r="49" spans="1:41" x14ac:dyDescent="0.3">
      <c r="A49" s="97">
        <v>231</v>
      </c>
      <c r="B49" s="98"/>
      <c r="C49" s="98"/>
      <c r="D49" s="98"/>
      <c r="E49" s="98">
        <v>4.8949999999999996</v>
      </c>
      <c r="F49" s="98">
        <v>0.05</v>
      </c>
      <c r="G49" s="98"/>
      <c r="H49" s="98"/>
      <c r="I49" s="98"/>
      <c r="J49" s="98"/>
      <c r="K49" s="98"/>
      <c r="L49" s="98">
        <v>8.3000000000000004E-2</v>
      </c>
      <c r="M49" s="98"/>
      <c r="N49" s="98"/>
      <c r="O49" s="98"/>
      <c r="P49" s="98"/>
      <c r="Q49" s="98"/>
      <c r="R49" s="98"/>
      <c r="S49" s="98"/>
      <c r="T49" s="98"/>
      <c r="U49" s="99">
        <f t="shared" si="1"/>
        <v>5.0279999999999996</v>
      </c>
      <c r="V49" s="100"/>
      <c r="W49" s="100"/>
      <c r="X49" s="100"/>
      <c r="Y49" s="100">
        <f>E49*100/U49</f>
        <v>97.354813046937153</v>
      </c>
      <c r="Z49" s="100">
        <f>F49*100/U49</f>
        <v>0.99443118536197306</v>
      </c>
      <c r="AA49" s="100"/>
      <c r="AB49" s="100"/>
      <c r="AC49" s="100"/>
      <c r="AD49" s="100"/>
      <c r="AE49" s="100"/>
      <c r="AF49" s="100">
        <f>L49*100/U49</f>
        <v>1.6507557677008753</v>
      </c>
      <c r="AG49" s="100"/>
      <c r="AH49" s="100"/>
      <c r="AI49" s="100"/>
      <c r="AJ49" s="100"/>
      <c r="AK49" s="100"/>
      <c r="AL49" s="100"/>
      <c r="AM49" s="100"/>
      <c r="AN49" s="100"/>
      <c r="AO49" s="100">
        <f t="shared" si="5"/>
        <v>100</v>
      </c>
    </row>
    <row r="50" spans="1:41" x14ac:dyDescent="0.3">
      <c r="A50" s="97">
        <v>245</v>
      </c>
      <c r="B50" s="98"/>
      <c r="C50" s="98"/>
      <c r="D50" s="98"/>
      <c r="E50" s="98">
        <v>2.0510000000000002</v>
      </c>
      <c r="F50" s="98">
        <v>7.2999999999999995E-2</v>
      </c>
      <c r="G50" s="98">
        <v>1.125</v>
      </c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>
        <v>2E-3</v>
      </c>
      <c r="S50" s="98"/>
      <c r="T50" s="98"/>
      <c r="U50" s="99">
        <f t="shared" si="1"/>
        <v>3.2509999999999999</v>
      </c>
      <c r="V50" s="100"/>
      <c r="W50" s="100"/>
      <c r="X50" s="100"/>
      <c r="Y50" s="100">
        <f>E50*100/U50</f>
        <v>63.088280529067987</v>
      </c>
      <c r="Z50" s="100">
        <f>F50*100/U50</f>
        <v>2.2454629344816981</v>
      </c>
      <c r="AA50" s="100">
        <f>G50*100/U50</f>
        <v>34.604737003998771</v>
      </c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>
        <f>R50*100/U50</f>
        <v>6.1519532451553373E-2</v>
      </c>
      <c r="AM50" s="100"/>
      <c r="AN50" s="100"/>
      <c r="AO50" s="100">
        <f t="shared" si="5"/>
        <v>100.00000000000001</v>
      </c>
    </row>
    <row r="51" spans="1:41" x14ac:dyDescent="0.3">
      <c r="A51" s="97">
        <v>223</v>
      </c>
      <c r="B51" s="98"/>
      <c r="C51" s="98"/>
      <c r="D51" s="98"/>
      <c r="E51" s="98"/>
      <c r="F51" s="98"/>
      <c r="G51" s="98">
        <v>5.0330000000000004</v>
      </c>
      <c r="H51" s="98"/>
      <c r="I51" s="98"/>
      <c r="J51" s="98"/>
      <c r="K51" s="98"/>
      <c r="L51" s="98"/>
      <c r="M51" s="98">
        <v>4.4999999999999998E-2</v>
      </c>
      <c r="N51" s="98"/>
      <c r="O51" s="98"/>
      <c r="P51" s="98"/>
      <c r="Q51" s="98"/>
      <c r="R51" s="98"/>
      <c r="S51" s="98"/>
      <c r="T51" s="98"/>
      <c r="U51" s="99">
        <f t="shared" si="1"/>
        <v>5.0780000000000003</v>
      </c>
      <c r="V51" s="100"/>
      <c r="W51" s="100"/>
      <c r="X51" s="100"/>
      <c r="Y51" s="100"/>
      <c r="Z51" s="100"/>
      <c r="AA51" s="100">
        <f>G51*100/U51</f>
        <v>99.113824340291444</v>
      </c>
      <c r="AB51" s="100"/>
      <c r="AC51" s="100"/>
      <c r="AD51" s="100"/>
      <c r="AE51" s="100"/>
      <c r="AF51" s="100"/>
      <c r="AG51" s="100">
        <f>M51*100/U51</f>
        <v>0.88617565970854661</v>
      </c>
      <c r="AH51" s="100"/>
      <c r="AI51" s="100"/>
      <c r="AJ51" s="100"/>
      <c r="AK51" s="100"/>
      <c r="AL51" s="100"/>
      <c r="AM51" s="100"/>
      <c r="AN51" s="100"/>
      <c r="AO51" s="100">
        <f t="shared" si="5"/>
        <v>99.999999999999986</v>
      </c>
    </row>
    <row r="52" spans="1:41" x14ac:dyDescent="0.3">
      <c r="A52" s="97">
        <v>214</v>
      </c>
      <c r="B52" s="98"/>
      <c r="C52" s="98"/>
      <c r="D52" s="98"/>
      <c r="E52" s="98">
        <v>0.92700000000000005</v>
      </c>
      <c r="F52" s="98">
        <v>0.65</v>
      </c>
      <c r="G52" s="98"/>
      <c r="H52" s="98"/>
      <c r="I52" s="98"/>
      <c r="J52" s="98"/>
      <c r="K52" s="98"/>
      <c r="L52" s="98"/>
      <c r="M52" s="98"/>
      <c r="N52" s="98">
        <v>2.5000000000000001E-2</v>
      </c>
      <c r="O52" s="98"/>
      <c r="P52" s="98"/>
      <c r="Q52" s="98"/>
      <c r="R52" s="98"/>
      <c r="S52" s="98"/>
      <c r="T52" s="98"/>
      <c r="U52" s="99">
        <f t="shared" si="1"/>
        <v>1.6019999999999999</v>
      </c>
      <c r="V52" s="100"/>
      <c r="W52" s="100"/>
      <c r="X52" s="100"/>
      <c r="Y52" s="100">
        <f>E52*100/U52</f>
        <v>57.86516853932585</v>
      </c>
      <c r="Z52" s="100">
        <f>F52*100/U52</f>
        <v>40.574282147315856</v>
      </c>
      <c r="AA52" s="100"/>
      <c r="AB52" s="100"/>
      <c r="AC52" s="100"/>
      <c r="AD52" s="100"/>
      <c r="AE52" s="100"/>
      <c r="AF52" s="100"/>
      <c r="AG52" s="100"/>
      <c r="AH52" s="100">
        <f>N52*100/U52</f>
        <v>1.5605493133583022</v>
      </c>
      <c r="AI52" s="100"/>
      <c r="AJ52" s="100"/>
      <c r="AK52" s="100"/>
      <c r="AL52" s="100"/>
      <c r="AM52" s="100"/>
      <c r="AN52" s="100"/>
      <c r="AO52" s="100">
        <f t="shared" si="5"/>
        <v>100.00000000000001</v>
      </c>
    </row>
    <row r="53" spans="1:41" x14ac:dyDescent="0.3">
      <c r="A53" s="97">
        <v>226</v>
      </c>
      <c r="B53" s="98"/>
      <c r="C53" s="98"/>
      <c r="D53" s="98"/>
      <c r="E53" s="98">
        <v>2.6749999999999998</v>
      </c>
      <c r="F53" s="98">
        <v>0.14000000000000001</v>
      </c>
      <c r="G53" s="98">
        <v>2.5000000000000001E-2</v>
      </c>
      <c r="H53" s="98"/>
      <c r="I53" s="98"/>
      <c r="J53" s="98"/>
      <c r="K53" s="98"/>
      <c r="L53" s="98"/>
      <c r="M53" s="98"/>
      <c r="N53" s="98">
        <v>0.02</v>
      </c>
      <c r="O53" s="98"/>
      <c r="P53" s="98"/>
      <c r="Q53" s="98"/>
      <c r="R53" s="98"/>
      <c r="S53" s="98"/>
      <c r="T53" s="98"/>
      <c r="U53" s="99">
        <f t="shared" si="1"/>
        <v>2.86</v>
      </c>
      <c r="V53" s="100"/>
      <c r="W53" s="100"/>
      <c r="X53" s="100"/>
      <c r="Y53" s="100">
        <f>E53*100/U53</f>
        <v>93.531468531468533</v>
      </c>
      <c r="Z53" s="100">
        <f>F53*100/U53</f>
        <v>4.8951048951048959</v>
      </c>
      <c r="AA53" s="100">
        <f>G53*100/U53</f>
        <v>0.87412587412587417</v>
      </c>
      <c r="AB53" s="100"/>
      <c r="AC53" s="100"/>
      <c r="AD53" s="100"/>
      <c r="AE53" s="100"/>
      <c r="AF53" s="100"/>
      <c r="AG53" s="100"/>
      <c r="AH53" s="100">
        <f>N53*100/U53</f>
        <v>0.69930069930069938</v>
      </c>
      <c r="AI53" s="100"/>
      <c r="AJ53" s="100"/>
      <c r="AK53" s="100"/>
      <c r="AL53" s="100"/>
      <c r="AM53" s="100"/>
      <c r="AN53" s="100"/>
      <c r="AO53" s="100">
        <f t="shared" si="5"/>
        <v>100</v>
      </c>
    </row>
    <row r="54" spans="1:41" x14ac:dyDescent="0.3">
      <c r="A54" s="97">
        <v>252</v>
      </c>
      <c r="B54" s="98"/>
      <c r="C54" s="98"/>
      <c r="D54" s="98"/>
      <c r="E54" s="98">
        <v>0.8</v>
      </c>
      <c r="F54" s="98">
        <v>9.0999999999999998E-2</v>
      </c>
      <c r="G54" s="98">
        <v>0.72499999999999998</v>
      </c>
      <c r="H54" s="98"/>
      <c r="I54" s="98"/>
      <c r="J54" s="98"/>
      <c r="K54" s="98"/>
      <c r="L54" s="98"/>
      <c r="M54" s="98"/>
      <c r="N54" s="98">
        <v>5.2999999999999999E-2</v>
      </c>
      <c r="O54" s="98"/>
      <c r="P54" s="98"/>
      <c r="Q54" s="98"/>
      <c r="R54" s="98"/>
      <c r="S54" s="98"/>
      <c r="T54" s="98"/>
      <c r="U54" s="99">
        <f t="shared" si="1"/>
        <v>1.669</v>
      </c>
      <c r="V54" s="100"/>
      <c r="W54" s="100"/>
      <c r="X54" s="100"/>
      <c r="Y54" s="100">
        <f>E54*100/U54</f>
        <v>47.932893948472135</v>
      </c>
      <c r="Z54" s="100">
        <f>F54*100/U54</f>
        <v>5.4523666866387055</v>
      </c>
      <c r="AA54" s="100">
        <f>G54*100/U54</f>
        <v>43.439185140802877</v>
      </c>
      <c r="AB54" s="100"/>
      <c r="AC54" s="100"/>
      <c r="AD54" s="100"/>
      <c r="AE54" s="100"/>
      <c r="AF54" s="100"/>
      <c r="AG54" s="100"/>
      <c r="AH54" s="100">
        <f>N54*100/U54</f>
        <v>3.1755542240862789</v>
      </c>
      <c r="AI54" s="100"/>
      <c r="AJ54" s="100"/>
      <c r="AK54" s="100"/>
      <c r="AL54" s="100"/>
      <c r="AM54" s="100"/>
      <c r="AN54" s="100"/>
      <c r="AO54" s="100">
        <f t="shared" si="5"/>
        <v>100</v>
      </c>
    </row>
    <row r="55" spans="1:41" x14ac:dyDescent="0.3">
      <c r="A55" s="97" t="s">
        <v>68</v>
      </c>
      <c r="B55" s="98"/>
      <c r="C55" s="98"/>
      <c r="D55" s="98"/>
      <c r="E55" s="98"/>
      <c r="F55" s="98"/>
      <c r="G55" s="98">
        <v>1.6</v>
      </c>
      <c r="H55" s="98"/>
      <c r="I55" s="98"/>
      <c r="J55" s="98"/>
      <c r="K55" s="98"/>
      <c r="L55" s="98">
        <v>5.0000000000000001E-3</v>
      </c>
      <c r="M55" s="98"/>
      <c r="N55" s="98"/>
      <c r="O55" s="98"/>
      <c r="P55" s="98"/>
      <c r="Q55" s="98"/>
      <c r="R55" s="98"/>
      <c r="S55" s="98"/>
      <c r="T55" s="98"/>
      <c r="U55" s="99">
        <f t="shared" si="1"/>
        <v>1.605</v>
      </c>
      <c r="V55" s="100"/>
      <c r="W55" s="100"/>
      <c r="X55" s="100"/>
      <c r="Y55" s="100"/>
      <c r="Z55" s="100"/>
      <c r="AA55" s="100">
        <f>G55*100/U55</f>
        <v>99.688473520249218</v>
      </c>
      <c r="AB55" s="100"/>
      <c r="AC55" s="100"/>
      <c r="AD55" s="100"/>
      <c r="AE55" s="100"/>
      <c r="AF55" s="100">
        <f>L55*100/U55</f>
        <v>0.3115264797507788</v>
      </c>
      <c r="AG55" s="100"/>
      <c r="AH55" s="100"/>
      <c r="AI55" s="100"/>
      <c r="AJ55" s="100"/>
      <c r="AK55" s="100"/>
      <c r="AL55" s="100"/>
      <c r="AM55" s="100"/>
      <c r="AN55" s="100"/>
      <c r="AO55" s="100">
        <f t="shared" si="5"/>
        <v>100</v>
      </c>
    </row>
    <row r="56" spans="1:41" x14ac:dyDescent="0.3">
      <c r="A56" s="97">
        <v>230</v>
      </c>
      <c r="B56" s="98">
        <v>3.1230000000000002</v>
      </c>
      <c r="C56" s="98"/>
      <c r="D56" s="98"/>
      <c r="E56" s="98"/>
      <c r="F56" s="98">
        <v>0.38</v>
      </c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>
        <f t="shared" si="1"/>
        <v>3.5030000000000001</v>
      </c>
      <c r="V56" s="100">
        <f>B56*100/U56</f>
        <v>89.152155295461029</v>
      </c>
      <c r="W56" s="100"/>
      <c r="X56" s="100"/>
      <c r="Y56" s="100"/>
      <c r="Z56" s="100">
        <f>F56*100/U56</f>
        <v>10.847844704538966</v>
      </c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>
        <f t="shared" si="5"/>
        <v>100</v>
      </c>
    </row>
    <row r="57" spans="1:41" x14ac:dyDescent="0.3">
      <c r="A57" s="97">
        <v>248</v>
      </c>
      <c r="B57" s="98"/>
      <c r="C57" s="98">
        <v>1.1539999999999999</v>
      </c>
      <c r="D57" s="98"/>
      <c r="E57" s="98"/>
      <c r="F57" s="98">
        <v>4.4999999999999998E-2</v>
      </c>
      <c r="G57" s="98"/>
      <c r="H57" s="98"/>
      <c r="I57" s="98"/>
      <c r="J57" s="98"/>
      <c r="K57" s="98"/>
      <c r="L57" s="98"/>
      <c r="M57" s="98"/>
      <c r="N57" s="98">
        <v>2E-3</v>
      </c>
      <c r="O57" s="98"/>
      <c r="P57" s="98"/>
      <c r="Q57" s="98"/>
      <c r="R57" s="98">
        <v>7.0000000000000001E-3</v>
      </c>
      <c r="S57" s="98"/>
      <c r="T57" s="98"/>
      <c r="U57" s="99">
        <f t="shared" si="1"/>
        <v>1.2079999999999997</v>
      </c>
      <c r="V57" s="100"/>
      <c r="W57" s="100">
        <f>C57*100/U57</f>
        <v>95.529801324503325</v>
      </c>
      <c r="X57" s="100"/>
      <c r="Y57" s="100"/>
      <c r="Z57" s="100">
        <f>F57*100/U57</f>
        <v>3.725165562913908</v>
      </c>
      <c r="AA57" s="100"/>
      <c r="AB57" s="100"/>
      <c r="AC57" s="100"/>
      <c r="AD57" s="100"/>
      <c r="AE57" s="100"/>
      <c r="AF57" s="100"/>
      <c r="AG57" s="100"/>
      <c r="AH57" s="100">
        <f>N57*100/U57</f>
        <v>0.16556291390728481</v>
      </c>
      <c r="AI57" s="100"/>
      <c r="AJ57" s="100"/>
      <c r="AK57" s="100"/>
      <c r="AL57" s="100">
        <f>R57*100/U57</f>
        <v>0.57947019867549687</v>
      </c>
      <c r="AM57" s="100"/>
      <c r="AN57" s="100"/>
      <c r="AO57" s="100">
        <f t="shared" si="5"/>
        <v>100</v>
      </c>
    </row>
    <row r="58" spans="1:41" x14ac:dyDescent="0.3">
      <c r="A58" s="97">
        <v>233</v>
      </c>
      <c r="B58" s="98"/>
      <c r="C58" s="98"/>
      <c r="D58" s="98"/>
      <c r="E58" s="98"/>
      <c r="F58" s="98">
        <v>0.2</v>
      </c>
      <c r="G58" s="98">
        <v>2.6269999999999998</v>
      </c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>
        <f t="shared" si="1"/>
        <v>2.827</v>
      </c>
      <c r="V58" s="100"/>
      <c r="W58" s="100"/>
      <c r="X58" s="100"/>
      <c r="Y58" s="100"/>
      <c r="Z58" s="100">
        <f>F58*100/U58</f>
        <v>7.0746374248319777</v>
      </c>
      <c r="AA58" s="100">
        <f>G58*100/U58</f>
        <v>92.925362575168023</v>
      </c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>
        <f t="shared" si="5"/>
        <v>100</v>
      </c>
    </row>
    <row r="59" spans="1:41" x14ac:dyDescent="0.3">
      <c r="A59" s="97">
        <v>215</v>
      </c>
      <c r="B59" s="98"/>
      <c r="C59" s="98"/>
      <c r="D59" s="98"/>
      <c r="E59" s="98">
        <v>3.12</v>
      </c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>
        <v>0.02</v>
      </c>
      <c r="U59" s="99">
        <f t="shared" si="1"/>
        <v>3.14</v>
      </c>
      <c r="V59" s="100"/>
      <c r="W59" s="100"/>
      <c r="X59" s="100"/>
      <c r="Y59" s="100">
        <f>E59*100/U59</f>
        <v>99.363057324840767</v>
      </c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>
        <f>T59*100/U59</f>
        <v>0.63694267515923564</v>
      </c>
      <c r="AO59" s="100">
        <f t="shared" si="5"/>
        <v>100</v>
      </c>
    </row>
    <row r="60" spans="1:41" x14ac:dyDescent="0.3">
      <c r="A60" s="97">
        <v>249</v>
      </c>
      <c r="B60" s="98"/>
      <c r="C60" s="98"/>
      <c r="D60" s="98"/>
      <c r="E60" s="98"/>
      <c r="F60" s="98">
        <v>8.4000000000000005E-2</v>
      </c>
      <c r="G60" s="98">
        <v>1.26</v>
      </c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>
        <f t="shared" si="1"/>
        <v>1.3440000000000001</v>
      </c>
      <c r="V60" s="100"/>
      <c r="W60" s="100"/>
      <c r="X60" s="100"/>
      <c r="Y60" s="100"/>
      <c r="Z60" s="100">
        <f>F60*100/U60</f>
        <v>6.25</v>
      </c>
      <c r="AA60" s="100">
        <f>G60*100/U60</f>
        <v>93.75</v>
      </c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>
        <f t="shared" si="5"/>
        <v>100</v>
      </c>
    </row>
    <row r="61" spans="1:41" x14ac:dyDescent="0.3">
      <c r="A61" s="97" t="s">
        <v>70</v>
      </c>
      <c r="B61" s="98">
        <v>2.4</v>
      </c>
      <c r="C61" s="98"/>
      <c r="D61" s="98"/>
      <c r="E61" s="98"/>
      <c r="F61" s="98">
        <v>9.8000000000000004E-2</v>
      </c>
      <c r="G61" s="98"/>
      <c r="H61" s="98"/>
      <c r="I61" s="98"/>
      <c r="J61" s="98"/>
      <c r="K61" s="98"/>
      <c r="L61" s="98"/>
      <c r="M61" s="98">
        <v>1.7000000000000001E-2</v>
      </c>
      <c r="N61" s="98">
        <v>0.05</v>
      </c>
      <c r="O61" s="98"/>
      <c r="P61" s="98"/>
      <c r="Q61" s="98"/>
      <c r="R61" s="98">
        <v>2.3E-2</v>
      </c>
      <c r="S61" s="98"/>
      <c r="T61" s="98"/>
      <c r="U61" s="99">
        <f t="shared" si="1"/>
        <v>2.5879999999999996</v>
      </c>
      <c r="V61" s="100">
        <f>B61*100/U61</f>
        <v>92.735703245749633</v>
      </c>
      <c r="W61" s="100"/>
      <c r="X61" s="100"/>
      <c r="Y61" s="100"/>
      <c r="Z61" s="100">
        <f>F61*100/U61</f>
        <v>3.7867078825347766</v>
      </c>
      <c r="AA61" s="100"/>
      <c r="AB61" s="100"/>
      <c r="AC61" s="100"/>
      <c r="AD61" s="100"/>
      <c r="AE61" s="100"/>
      <c r="AF61" s="100"/>
      <c r="AG61" s="100">
        <f>M61*100/U61</f>
        <v>0.6568778979907266</v>
      </c>
      <c r="AH61" s="100">
        <f>N61*100/U61</f>
        <v>1.9319938176197839</v>
      </c>
      <c r="AI61" s="100"/>
      <c r="AJ61" s="100"/>
      <c r="AK61" s="100"/>
      <c r="AL61" s="100">
        <f>R61*100/U61</f>
        <v>0.88871715610510049</v>
      </c>
      <c r="AM61" s="100"/>
      <c r="AN61" s="100"/>
      <c r="AO61" s="100">
        <f t="shared" si="5"/>
        <v>100.00000000000001</v>
      </c>
    </row>
    <row r="62" spans="1:41" x14ac:dyDescent="0.3">
      <c r="A62" s="97" t="s">
        <v>72</v>
      </c>
      <c r="B62" s="98"/>
      <c r="C62" s="98"/>
      <c r="D62" s="98"/>
      <c r="E62" s="98"/>
      <c r="F62" s="98"/>
      <c r="G62" s="98"/>
      <c r="H62" s="98"/>
      <c r="I62" s="98"/>
      <c r="J62" s="98"/>
      <c r="K62" s="98">
        <v>4.0000000000000001E-3</v>
      </c>
      <c r="L62" s="98">
        <v>7.4999999999999997E-2</v>
      </c>
      <c r="M62" s="98"/>
      <c r="N62" s="98"/>
      <c r="O62" s="98"/>
      <c r="P62" s="98"/>
      <c r="Q62" s="98">
        <v>0.81</v>
      </c>
      <c r="R62" s="98">
        <v>8.9999999999999993E-3</v>
      </c>
      <c r="S62" s="98">
        <v>0.2</v>
      </c>
      <c r="T62" s="98"/>
      <c r="U62" s="99">
        <f t="shared" si="1"/>
        <v>1.0980000000000001</v>
      </c>
      <c r="V62" s="100"/>
      <c r="W62" s="100"/>
      <c r="X62" s="100"/>
      <c r="Y62" s="100"/>
      <c r="Z62" s="100"/>
      <c r="AA62" s="100"/>
      <c r="AB62" s="100"/>
      <c r="AC62" s="100"/>
      <c r="AD62" s="100"/>
      <c r="AE62" s="100">
        <f>K62*100/U62</f>
        <v>0.36429872495446264</v>
      </c>
      <c r="AF62" s="100">
        <f>L62*100/U62</f>
        <v>6.830601092896174</v>
      </c>
      <c r="AG62" s="100"/>
      <c r="AH62" s="100"/>
      <c r="AI62" s="100"/>
      <c r="AJ62" s="100"/>
      <c r="AK62" s="100">
        <f>Q62*100/U62</f>
        <v>73.770491803278688</v>
      </c>
      <c r="AL62" s="100">
        <f>R62*100/U62</f>
        <v>0.81967213114754078</v>
      </c>
      <c r="AM62" s="100">
        <f>S62*100/U62</f>
        <v>18.214936247723131</v>
      </c>
      <c r="AN62" s="100"/>
      <c r="AO62" s="100">
        <f t="shared" si="5"/>
        <v>100</v>
      </c>
    </row>
    <row r="63" spans="1:41" x14ac:dyDescent="0.3">
      <c r="A63" s="97" t="s">
        <v>73</v>
      </c>
      <c r="B63" s="98">
        <v>2.2000000000000002</v>
      </c>
      <c r="C63" s="98"/>
      <c r="D63" s="98"/>
      <c r="E63" s="98"/>
      <c r="F63" s="98"/>
      <c r="G63" s="98">
        <v>1.02</v>
      </c>
      <c r="H63" s="98">
        <v>1</v>
      </c>
      <c r="I63" s="98"/>
      <c r="J63" s="98"/>
      <c r="K63" s="98"/>
      <c r="L63" s="98"/>
      <c r="M63" s="98">
        <v>5.1999999999999998E-2</v>
      </c>
      <c r="N63" s="98"/>
      <c r="O63" s="98"/>
      <c r="P63" s="98"/>
      <c r="Q63" s="98"/>
      <c r="R63" s="98">
        <v>5.0000000000000001E-3</v>
      </c>
      <c r="S63" s="98"/>
      <c r="T63" s="98"/>
      <c r="U63" s="99">
        <f t="shared" si="1"/>
        <v>4.2770000000000001</v>
      </c>
      <c r="V63" s="100">
        <f>B63*100/U63</f>
        <v>51.437923778349315</v>
      </c>
      <c r="W63" s="100"/>
      <c r="X63" s="100"/>
      <c r="Y63" s="100"/>
      <c r="Z63" s="100"/>
      <c r="AA63" s="100">
        <f>G63*100/U63</f>
        <v>23.848491933598314</v>
      </c>
      <c r="AB63" s="100">
        <f>H63*100/U63</f>
        <v>23.380874444704233</v>
      </c>
      <c r="AC63" s="100"/>
      <c r="AD63" s="100"/>
      <c r="AE63" s="100"/>
      <c r="AF63" s="100"/>
      <c r="AG63" s="100">
        <f>M63*100/U63</f>
        <v>1.21580547112462</v>
      </c>
      <c r="AH63" s="100"/>
      <c r="AI63" s="100"/>
      <c r="AJ63" s="100"/>
      <c r="AK63" s="100"/>
      <c r="AL63" s="100">
        <f>R63*100/U63</f>
        <v>0.11690437222352115</v>
      </c>
      <c r="AM63" s="100"/>
      <c r="AN63" s="100"/>
      <c r="AO63" s="100">
        <f t="shared" si="5"/>
        <v>100</v>
      </c>
    </row>
    <row r="64" spans="1:41" x14ac:dyDescent="0.3">
      <c r="A64" s="97">
        <v>244</v>
      </c>
      <c r="B64" s="98"/>
      <c r="C64" s="98"/>
      <c r="D64" s="98"/>
      <c r="E64" s="98"/>
      <c r="F64" s="98"/>
      <c r="G64" s="98">
        <v>2.5070000000000001</v>
      </c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>
        <v>5.0000000000000001E-3</v>
      </c>
      <c r="S64" s="98"/>
      <c r="T64" s="98"/>
      <c r="U64" s="99">
        <f t="shared" si="1"/>
        <v>2.512</v>
      </c>
      <c r="V64" s="100"/>
      <c r="W64" s="100"/>
      <c r="X64" s="100"/>
      <c r="Y64" s="100"/>
      <c r="Z64" s="100"/>
      <c r="AA64" s="100">
        <f>G64*100/U64</f>
        <v>99.800955414012748</v>
      </c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>
        <f>R64*100/U64</f>
        <v>0.19904458598726116</v>
      </c>
      <c r="AM64" s="100"/>
      <c r="AN64" s="100"/>
      <c r="AO64" s="100">
        <f t="shared" si="5"/>
        <v>100.00000000000001</v>
      </c>
    </row>
    <row r="65" spans="1:41" x14ac:dyDescent="0.3">
      <c r="A65" s="97" t="s">
        <v>74</v>
      </c>
      <c r="B65" s="98"/>
      <c r="C65" s="98">
        <v>1.63</v>
      </c>
      <c r="D65" s="98"/>
      <c r="E65" s="98"/>
      <c r="F65" s="98">
        <v>0.125</v>
      </c>
      <c r="G65" s="98"/>
      <c r="H65" s="98"/>
      <c r="I65" s="98"/>
      <c r="J65" s="98"/>
      <c r="K65" s="98"/>
      <c r="L65" s="98">
        <v>0.1</v>
      </c>
      <c r="M65" s="98"/>
      <c r="N65" s="98"/>
      <c r="O65" s="98"/>
      <c r="P65" s="98"/>
      <c r="Q65" s="98"/>
      <c r="R65" s="98">
        <v>1E-3</v>
      </c>
      <c r="S65" s="98"/>
      <c r="T65" s="98"/>
      <c r="U65" s="99">
        <f t="shared" si="1"/>
        <v>1.8559999999999999</v>
      </c>
      <c r="V65" s="100"/>
      <c r="W65" s="100">
        <f>C65*100/U65</f>
        <v>87.823275862068968</v>
      </c>
      <c r="X65" s="100"/>
      <c r="Y65" s="100"/>
      <c r="Z65" s="100">
        <f>F65*100/U65</f>
        <v>6.7349137931034484</v>
      </c>
      <c r="AA65" s="100"/>
      <c r="AB65" s="100"/>
      <c r="AC65" s="100"/>
      <c r="AD65" s="100"/>
      <c r="AE65" s="100"/>
      <c r="AF65" s="100">
        <f>L65*100/U65</f>
        <v>5.3879310344827589</v>
      </c>
      <c r="AG65" s="100"/>
      <c r="AH65" s="100"/>
      <c r="AI65" s="100"/>
      <c r="AJ65" s="100"/>
      <c r="AK65" s="100"/>
      <c r="AL65" s="100">
        <f>R65*100/U65</f>
        <v>5.387931034482759E-2</v>
      </c>
      <c r="AM65" s="100"/>
      <c r="AN65" s="100"/>
      <c r="AO65" s="100">
        <f t="shared" si="5"/>
        <v>100</v>
      </c>
    </row>
    <row r="66" spans="1:41" x14ac:dyDescent="0.3">
      <c r="A66" s="97" t="s">
        <v>75</v>
      </c>
      <c r="B66" s="98"/>
      <c r="C66" s="98"/>
      <c r="D66" s="98"/>
      <c r="E66" s="98"/>
      <c r="F66" s="98"/>
      <c r="G66" s="98">
        <v>1.5</v>
      </c>
      <c r="H66" s="98"/>
      <c r="I66" s="98"/>
      <c r="J66" s="98"/>
      <c r="K66" s="98"/>
      <c r="L66" s="98"/>
      <c r="M66" s="98">
        <v>5.0000000000000001E-3</v>
      </c>
      <c r="N66" s="98"/>
      <c r="O66" s="98"/>
      <c r="P66" s="98"/>
      <c r="Q66" s="98"/>
      <c r="R66" s="98"/>
      <c r="S66" s="98"/>
      <c r="T66" s="98"/>
      <c r="U66" s="99">
        <f t="shared" si="1"/>
        <v>1.5049999999999999</v>
      </c>
      <c r="V66" s="100"/>
      <c r="W66" s="100"/>
      <c r="X66" s="100"/>
      <c r="Y66" s="100"/>
      <c r="Z66" s="100"/>
      <c r="AA66" s="100">
        <f>G66*100/U66</f>
        <v>99.667774086378742</v>
      </c>
      <c r="AB66" s="100"/>
      <c r="AC66" s="100"/>
      <c r="AD66" s="100"/>
      <c r="AE66" s="100"/>
      <c r="AF66" s="100"/>
      <c r="AG66" s="100">
        <f>M66*100/U66</f>
        <v>0.33222591362126247</v>
      </c>
      <c r="AH66" s="100"/>
      <c r="AI66" s="100"/>
      <c r="AJ66" s="100"/>
      <c r="AK66" s="100"/>
      <c r="AL66" s="100"/>
      <c r="AM66" s="100"/>
      <c r="AN66" s="100"/>
      <c r="AO66" s="100">
        <f t="shared" ref="AO66:AO79" si="7">SUM(V66:AN66)</f>
        <v>100</v>
      </c>
    </row>
    <row r="67" spans="1:41" x14ac:dyDescent="0.3">
      <c r="A67" s="97">
        <v>228</v>
      </c>
      <c r="B67" s="98"/>
      <c r="C67" s="98"/>
      <c r="D67" s="98"/>
      <c r="E67" s="98">
        <v>3.1</v>
      </c>
      <c r="F67" s="98">
        <v>8.5000000000000006E-2</v>
      </c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>
        <f t="shared" ref="U67:U79" si="8">SUM(B67:T67)</f>
        <v>3.1850000000000001</v>
      </c>
      <c r="V67" s="100"/>
      <c r="W67" s="100"/>
      <c r="X67" s="100"/>
      <c r="Y67" s="100">
        <f>E67*100/U67</f>
        <v>97.331240188383049</v>
      </c>
      <c r="Z67" s="100">
        <f>F67*100/U67</f>
        <v>2.6687598116169546</v>
      </c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>
        <f t="shared" si="7"/>
        <v>100</v>
      </c>
    </row>
    <row r="68" spans="1:41" x14ac:dyDescent="0.3">
      <c r="A68" s="97" t="s">
        <v>76</v>
      </c>
      <c r="B68" s="98"/>
      <c r="C68" s="98"/>
      <c r="D68" s="98"/>
      <c r="E68" s="98">
        <v>2.105</v>
      </c>
      <c r="F68" s="98">
        <v>0.39</v>
      </c>
      <c r="G68" s="98">
        <v>1.5249999999999999</v>
      </c>
      <c r="H68" s="98"/>
      <c r="I68" s="98"/>
      <c r="J68" s="98"/>
      <c r="K68" s="98"/>
      <c r="L68" s="98"/>
      <c r="M68" s="98">
        <v>3.5999999999999997E-2</v>
      </c>
      <c r="N68" s="98">
        <v>2.5000000000000001E-2</v>
      </c>
      <c r="O68" s="98"/>
      <c r="P68" s="98"/>
      <c r="Q68" s="98"/>
      <c r="R68" s="98">
        <v>5.0000000000000001E-3</v>
      </c>
      <c r="S68" s="98"/>
      <c r="T68" s="98"/>
      <c r="U68" s="99">
        <f t="shared" si="8"/>
        <v>4.0859999999999994</v>
      </c>
      <c r="V68" s="100"/>
      <c r="W68" s="100"/>
      <c r="X68" s="100"/>
      <c r="Y68" s="100">
        <f>E68*100/U68</f>
        <v>51.517376407244257</v>
      </c>
      <c r="Z68" s="100">
        <f>F68*100/U68</f>
        <v>9.5447870778267276</v>
      </c>
      <c r="AA68" s="100">
        <f>G68*100/U68</f>
        <v>37.322564855604512</v>
      </c>
      <c r="AB68" s="100"/>
      <c r="AC68" s="100"/>
      <c r="AD68" s="100"/>
      <c r="AE68" s="100"/>
      <c r="AF68" s="100"/>
      <c r="AG68" s="100">
        <f>M68*100/U68</f>
        <v>0.88105726872246704</v>
      </c>
      <c r="AH68" s="100">
        <f>N68*100/U68</f>
        <v>0.61184532550171322</v>
      </c>
      <c r="AI68" s="100"/>
      <c r="AJ68" s="100"/>
      <c r="AK68" s="100"/>
      <c r="AL68" s="100">
        <f>R68*100/U68</f>
        <v>0.12236906510034265</v>
      </c>
      <c r="AM68" s="100"/>
      <c r="AN68" s="100"/>
      <c r="AO68" s="100">
        <f t="shared" si="7"/>
        <v>100.00000000000003</v>
      </c>
    </row>
    <row r="69" spans="1:41" x14ac:dyDescent="0.3">
      <c r="A69" s="97" t="s">
        <v>77</v>
      </c>
      <c r="B69" s="98"/>
      <c r="C69" s="98"/>
      <c r="D69" s="98"/>
      <c r="E69" s="98"/>
      <c r="F69" s="98"/>
      <c r="G69" s="98">
        <v>3.1219999999999999</v>
      </c>
      <c r="H69" s="98">
        <v>0.93</v>
      </c>
      <c r="I69" s="98"/>
      <c r="J69" s="98"/>
      <c r="K69" s="98"/>
      <c r="L69" s="98"/>
      <c r="M69" s="98"/>
      <c r="N69" s="98">
        <v>0.625</v>
      </c>
      <c r="O69" s="98"/>
      <c r="P69" s="98"/>
      <c r="Q69" s="98"/>
      <c r="R69" s="98"/>
      <c r="S69" s="98"/>
      <c r="T69" s="98"/>
      <c r="U69" s="99">
        <f t="shared" si="8"/>
        <v>4.6769999999999996</v>
      </c>
      <c r="V69" s="100"/>
      <c r="W69" s="100"/>
      <c r="X69" s="100"/>
      <c r="Y69" s="100"/>
      <c r="Z69" s="100"/>
      <c r="AA69" s="100">
        <f>G69*100/U69</f>
        <v>66.752191575796459</v>
      </c>
      <c r="AB69" s="100">
        <f>H69*100/U69</f>
        <v>19.884541372674793</v>
      </c>
      <c r="AC69" s="100"/>
      <c r="AD69" s="100"/>
      <c r="AE69" s="100"/>
      <c r="AF69" s="100"/>
      <c r="AG69" s="100"/>
      <c r="AH69" s="100">
        <f>N69*100/U69</f>
        <v>13.363267051528759</v>
      </c>
      <c r="AI69" s="100"/>
      <c r="AJ69" s="100"/>
      <c r="AK69" s="100"/>
      <c r="AL69" s="100"/>
      <c r="AM69" s="100"/>
      <c r="AN69" s="100"/>
      <c r="AO69" s="100">
        <f t="shared" si="7"/>
        <v>100</v>
      </c>
    </row>
    <row r="70" spans="1:41" x14ac:dyDescent="0.3">
      <c r="A70" s="97" t="s">
        <v>78</v>
      </c>
      <c r="B70" s="98"/>
      <c r="C70" s="98"/>
      <c r="D70" s="98"/>
      <c r="E70" s="98"/>
      <c r="F70" s="98"/>
      <c r="G70" s="98"/>
      <c r="H70" s="98">
        <v>3.35</v>
      </c>
      <c r="I70" s="98"/>
      <c r="J70" s="98"/>
      <c r="K70" s="98"/>
      <c r="L70" s="98"/>
      <c r="M70" s="98"/>
      <c r="N70" s="98">
        <v>2.5000000000000001E-2</v>
      </c>
      <c r="O70" s="98"/>
      <c r="P70" s="98"/>
      <c r="Q70" s="98"/>
      <c r="R70" s="98"/>
      <c r="S70" s="98"/>
      <c r="T70" s="98"/>
      <c r="U70" s="99">
        <f t="shared" si="8"/>
        <v>3.375</v>
      </c>
      <c r="V70" s="100"/>
      <c r="W70" s="100"/>
      <c r="X70" s="100"/>
      <c r="Y70" s="100"/>
      <c r="Z70" s="100"/>
      <c r="AA70" s="100"/>
      <c r="AB70" s="100">
        <f>H70*100/U70</f>
        <v>99.259259259259252</v>
      </c>
      <c r="AC70" s="100"/>
      <c r="AD70" s="100"/>
      <c r="AE70" s="100"/>
      <c r="AF70" s="100"/>
      <c r="AG70" s="100"/>
      <c r="AH70" s="100">
        <f>N70*100/U70</f>
        <v>0.7407407407407407</v>
      </c>
      <c r="AI70" s="100"/>
      <c r="AJ70" s="100"/>
      <c r="AK70" s="100"/>
      <c r="AL70" s="100"/>
      <c r="AM70" s="100"/>
      <c r="AN70" s="100"/>
      <c r="AO70" s="100">
        <f t="shared" si="7"/>
        <v>100</v>
      </c>
    </row>
    <row r="71" spans="1:41" x14ac:dyDescent="0.3">
      <c r="A71" s="97">
        <v>217</v>
      </c>
      <c r="B71" s="98"/>
      <c r="C71" s="98"/>
      <c r="D71" s="98"/>
      <c r="E71" s="98"/>
      <c r="F71" s="98">
        <v>0.71599999999999997</v>
      </c>
      <c r="G71" s="98">
        <v>0.92500000000000004</v>
      </c>
      <c r="H71" s="98">
        <v>0.11</v>
      </c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>
        <f t="shared" si="8"/>
        <v>1.7510000000000001</v>
      </c>
      <c r="V71" s="100"/>
      <c r="W71" s="100"/>
      <c r="X71" s="100"/>
      <c r="Y71" s="100"/>
      <c r="Z71" s="100">
        <f>F71*100/U71</f>
        <v>40.890919474585942</v>
      </c>
      <c r="AA71" s="100">
        <f>G71*100/U71</f>
        <v>52.826956025128496</v>
      </c>
      <c r="AB71" s="100">
        <f>H71*100/U71</f>
        <v>6.2821245002855504</v>
      </c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>
        <f t="shared" si="7"/>
        <v>99.999999999999986</v>
      </c>
    </row>
    <row r="72" spans="1:41" x14ac:dyDescent="0.3">
      <c r="A72" s="97" t="s">
        <v>80</v>
      </c>
      <c r="B72" s="98"/>
      <c r="C72" s="98">
        <v>2.1</v>
      </c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>
        <v>5.2999999999999999E-2</v>
      </c>
      <c r="O72" s="98"/>
      <c r="P72" s="98"/>
      <c r="Q72" s="98"/>
      <c r="R72" s="98"/>
      <c r="S72" s="98"/>
      <c r="T72" s="98"/>
      <c r="U72" s="99">
        <f t="shared" si="8"/>
        <v>2.153</v>
      </c>
      <c r="V72" s="100"/>
      <c r="W72" s="100">
        <f>C72*100/U72</f>
        <v>97.538318625174171</v>
      </c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>
        <f>N72*100/U72</f>
        <v>2.4616813748258242</v>
      </c>
      <c r="AI72" s="100"/>
      <c r="AJ72" s="100"/>
      <c r="AK72" s="100"/>
      <c r="AL72" s="100"/>
      <c r="AM72" s="100"/>
      <c r="AN72" s="100"/>
      <c r="AO72" s="100">
        <f t="shared" si="7"/>
        <v>100</v>
      </c>
    </row>
    <row r="73" spans="1:41" x14ac:dyDescent="0.3">
      <c r="A73" s="97" t="s">
        <v>81</v>
      </c>
      <c r="B73" s="98"/>
      <c r="C73" s="98">
        <v>2.8</v>
      </c>
      <c r="D73" s="98"/>
      <c r="E73" s="98"/>
      <c r="F73" s="98">
        <v>0.22500000000000001</v>
      </c>
      <c r="G73" s="98"/>
      <c r="H73" s="98"/>
      <c r="I73" s="98">
        <v>5.0000000000000001E-3</v>
      </c>
      <c r="J73" s="98"/>
      <c r="K73" s="98"/>
      <c r="L73" s="98"/>
      <c r="M73" s="98"/>
      <c r="N73" s="98">
        <v>6.5000000000000002E-2</v>
      </c>
      <c r="O73" s="98"/>
      <c r="P73" s="98"/>
      <c r="Q73" s="98"/>
      <c r="R73" s="98">
        <v>5.0000000000000001E-3</v>
      </c>
      <c r="S73" s="98"/>
      <c r="T73" s="98"/>
      <c r="U73" s="99">
        <f t="shared" si="8"/>
        <v>3.0999999999999996</v>
      </c>
      <c r="V73" s="100"/>
      <c r="W73" s="100">
        <f>C73*100/U73</f>
        <v>90.322580645161295</v>
      </c>
      <c r="X73" s="100"/>
      <c r="Y73" s="100"/>
      <c r="Z73" s="100">
        <f>F73*100/U73</f>
        <v>7.2580645161290329</v>
      </c>
      <c r="AA73" s="100"/>
      <c r="AB73" s="100"/>
      <c r="AC73" s="100">
        <f>I73*100/U73</f>
        <v>0.16129032258064518</v>
      </c>
      <c r="AD73" s="100"/>
      <c r="AE73" s="100"/>
      <c r="AF73" s="100"/>
      <c r="AG73" s="100"/>
      <c r="AH73" s="100">
        <f>N73*100/U73</f>
        <v>2.0967741935483875</v>
      </c>
      <c r="AI73" s="100"/>
      <c r="AJ73" s="100"/>
      <c r="AK73" s="100"/>
      <c r="AL73" s="100">
        <f>R73*100/U73</f>
        <v>0.16129032258064518</v>
      </c>
      <c r="AM73" s="100"/>
      <c r="AN73" s="100"/>
      <c r="AO73" s="100">
        <f t="shared" si="7"/>
        <v>100</v>
      </c>
    </row>
    <row r="74" spans="1:41" x14ac:dyDescent="0.3">
      <c r="A74" s="97">
        <v>352</v>
      </c>
      <c r="B74" s="98"/>
      <c r="C74" s="98"/>
      <c r="D74" s="98">
        <v>1.367</v>
      </c>
      <c r="E74" s="98"/>
      <c r="F74" s="98"/>
      <c r="G74" s="98"/>
      <c r="H74" s="98"/>
      <c r="I74" s="98"/>
      <c r="J74" s="98"/>
      <c r="K74" s="98"/>
      <c r="L74" s="98"/>
      <c r="M74" s="98">
        <v>1.4999999999999999E-2</v>
      </c>
      <c r="N74" s="98">
        <v>1.7000000000000001E-2</v>
      </c>
      <c r="O74" s="98"/>
      <c r="P74" s="97">
        <v>5.0000000000000001E-4</v>
      </c>
      <c r="Q74" s="98"/>
      <c r="R74" s="98"/>
      <c r="S74" s="98"/>
      <c r="T74" s="98"/>
      <c r="U74" s="99">
        <f t="shared" si="8"/>
        <v>1.3994999999999997</v>
      </c>
      <c r="V74" s="100"/>
      <c r="W74" s="100"/>
      <c r="X74" s="100">
        <f>D74*100/U74</f>
        <v>97.677742050732419</v>
      </c>
      <c r="Y74" s="100"/>
      <c r="Z74" s="100"/>
      <c r="AA74" s="100"/>
      <c r="AB74" s="100"/>
      <c r="AC74" s="100"/>
      <c r="AD74" s="100"/>
      <c r="AE74" s="100"/>
      <c r="AF74" s="100"/>
      <c r="AG74" s="100">
        <f>M74*100/U74</f>
        <v>1.071811361200429</v>
      </c>
      <c r="AH74" s="100">
        <f>N74*100/U74</f>
        <v>1.2147195426938195</v>
      </c>
      <c r="AI74" s="100"/>
      <c r="AJ74" s="100">
        <f>P74*100/U74</f>
        <v>3.572704537334763E-2</v>
      </c>
      <c r="AK74" s="100"/>
      <c r="AL74" s="100"/>
      <c r="AM74" s="100"/>
      <c r="AN74" s="100"/>
      <c r="AO74" s="100">
        <f t="shared" si="7"/>
        <v>100.00000000000001</v>
      </c>
    </row>
    <row r="75" spans="1:41" x14ac:dyDescent="0.3">
      <c r="A75" s="97">
        <v>332</v>
      </c>
      <c r="B75" s="98"/>
      <c r="C75" s="98"/>
      <c r="D75" s="98">
        <v>3.0920000000000001</v>
      </c>
      <c r="E75" s="98"/>
      <c r="F75" s="98"/>
      <c r="G75" s="98"/>
      <c r="H75" s="98"/>
      <c r="I75" s="98"/>
      <c r="J75" s="98"/>
      <c r="K75" s="98"/>
      <c r="L75" s="98">
        <v>1.2999999999999999E-2</v>
      </c>
      <c r="M75" s="98"/>
      <c r="N75" s="98"/>
      <c r="O75" s="98"/>
      <c r="P75" s="98"/>
      <c r="Q75" s="98"/>
      <c r="R75" s="98"/>
      <c r="S75" s="98"/>
      <c r="T75" s="98"/>
      <c r="U75" s="99">
        <f t="shared" si="8"/>
        <v>3.105</v>
      </c>
      <c r="V75" s="100"/>
      <c r="W75" s="100"/>
      <c r="X75" s="100">
        <f>D75*100/U75</f>
        <v>99.58132045088567</v>
      </c>
      <c r="Y75" s="100"/>
      <c r="Z75" s="100"/>
      <c r="AA75" s="100"/>
      <c r="AB75" s="100"/>
      <c r="AC75" s="100"/>
      <c r="AD75" s="100"/>
      <c r="AE75" s="100"/>
      <c r="AF75" s="100">
        <f>L75*100/U75</f>
        <v>0.41867954911433175</v>
      </c>
      <c r="AG75" s="100"/>
      <c r="AH75" s="100"/>
      <c r="AI75" s="100"/>
      <c r="AJ75" s="100"/>
      <c r="AK75" s="100"/>
      <c r="AL75" s="100"/>
      <c r="AM75" s="100"/>
      <c r="AN75" s="100"/>
      <c r="AO75" s="100">
        <f t="shared" si="7"/>
        <v>100</v>
      </c>
    </row>
    <row r="76" spans="1:41" x14ac:dyDescent="0.3">
      <c r="A76" s="97">
        <v>339</v>
      </c>
      <c r="B76" s="98"/>
      <c r="C76" s="98"/>
      <c r="D76" s="98">
        <v>2.7410000000000001</v>
      </c>
      <c r="E76" s="98"/>
      <c r="F76" s="98">
        <v>0.125</v>
      </c>
      <c r="G76" s="98"/>
      <c r="H76" s="98"/>
      <c r="I76" s="98"/>
      <c r="J76" s="98"/>
      <c r="K76" s="98"/>
      <c r="L76" s="98">
        <v>7.4999999999999997E-2</v>
      </c>
      <c r="M76" s="98"/>
      <c r="N76" s="98"/>
      <c r="O76" s="98"/>
      <c r="P76" s="98"/>
      <c r="Q76" s="98"/>
      <c r="R76" s="98"/>
      <c r="S76" s="98"/>
      <c r="T76" s="98"/>
      <c r="U76" s="99">
        <f t="shared" si="8"/>
        <v>2.9410000000000003</v>
      </c>
      <c r="V76" s="100"/>
      <c r="W76" s="100"/>
      <c r="X76" s="100">
        <f>D76*100/U76</f>
        <v>93.19959197551853</v>
      </c>
      <c r="Y76" s="100"/>
      <c r="Z76" s="100">
        <f>F76*100/U76</f>
        <v>4.250255015300918</v>
      </c>
      <c r="AA76" s="100"/>
      <c r="AB76" s="100"/>
      <c r="AC76" s="100"/>
      <c r="AD76" s="100"/>
      <c r="AE76" s="100"/>
      <c r="AF76" s="100">
        <f>L76*100/U76</f>
        <v>2.5501530091805504</v>
      </c>
      <c r="AG76" s="100"/>
      <c r="AH76" s="100"/>
      <c r="AI76" s="100"/>
      <c r="AJ76" s="100"/>
      <c r="AK76" s="100"/>
      <c r="AL76" s="100"/>
      <c r="AM76" s="100"/>
      <c r="AN76" s="100"/>
      <c r="AO76" s="100">
        <f t="shared" si="7"/>
        <v>100</v>
      </c>
    </row>
    <row r="77" spans="1:41" x14ac:dyDescent="0.3">
      <c r="A77" s="97">
        <v>347</v>
      </c>
      <c r="B77" s="97"/>
      <c r="C77" s="97"/>
      <c r="D77" s="97">
        <v>2.032</v>
      </c>
      <c r="E77" s="97"/>
      <c r="F77" s="97"/>
      <c r="G77" s="97"/>
      <c r="H77" s="97"/>
      <c r="I77" s="97"/>
      <c r="J77" s="97"/>
      <c r="K77" s="97"/>
      <c r="L77" s="97"/>
      <c r="M77" s="97">
        <v>9.7000000000000003E-2</v>
      </c>
      <c r="N77" s="97"/>
      <c r="O77" s="97"/>
      <c r="P77" s="97"/>
      <c r="Q77" s="97"/>
      <c r="R77" s="97"/>
      <c r="S77" s="97"/>
      <c r="T77" s="97"/>
      <c r="U77" s="99">
        <f t="shared" si="8"/>
        <v>2.129</v>
      </c>
      <c r="V77" s="100"/>
      <c r="W77" s="100"/>
      <c r="X77" s="100">
        <f>D77*100/U77</f>
        <v>95.44387036167214</v>
      </c>
      <c r="Y77" s="100"/>
      <c r="Z77" s="100"/>
      <c r="AA77" s="100"/>
      <c r="AB77" s="100"/>
      <c r="AC77" s="100"/>
      <c r="AD77" s="100"/>
      <c r="AE77" s="100"/>
      <c r="AF77" s="100"/>
      <c r="AG77" s="100">
        <f>M77*100/U77</f>
        <v>4.556129638327854</v>
      </c>
      <c r="AH77" s="100"/>
      <c r="AI77" s="100"/>
      <c r="AJ77" s="100"/>
      <c r="AK77" s="100"/>
      <c r="AL77" s="100"/>
      <c r="AM77" s="100"/>
      <c r="AN77" s="100"/>
      <c r="AO77" s="100">
        <f t="shared" si="7"/>
        <v>100</v>
      </c>
    </row>
    <row r="78" spans="1:41" x14ac:dyDescent="0.3">
      <c r="A78" s="97">
        <v>346</v>
      </c>
      <c r="B78" s="97"/>
      <c r="C78" s="97"/>
      <c r="D78" s="97">
        <v>2.0470000000000002</v>
      </c>
      <c r="E78" s="97"/>
      <c r="F78" s="97"/>
      <c r="G78" s="97"/>
      <c r="H78" s="97"/>
      <c r="I78" s="97"/>
      <c r="J78" s="97"/>
      <c r="K78" s="97"/>
      <c r="L78" s="97"/>
      <c r="M78" s="97"/>
      <c r="N78" s="97">
        <v>0.35299999999999998</v>
      </c>
      <c r="O78" s="97"/>
      <c r="P78" s="97"/>
      <c r="Q78" s="97"/>
      <c r="R78" s="97"/>
      <c r="S78" s="97"/>
      <c r="T78" s="97"/>
      <c r="U78" s="99">
        <f t="shared" si="8"/>
        <v>2.4000000000000004</v>
      </c>
      <c r="V78" s="100"/>
      <c r="W78" s="100"/>
      <c r="X78" s="100">
        <f>D78*100/U78</f>
        <v>85.291666666666657</v>
      </c>
      <c r="Y78" s="100"/>
      <c r="Z78" s="100"/>
      <c r="AA78" s="100"/>
      <c r="AB78" s="100"/>
      <c r="AC78" s="100"/>
      <c r="AD78" s="100"/>
      <c r="AE78" s="100"/>
      <c r="AF78" s="100"/>
      <c r="AG78" s="100"/>
      <c r="AH78" s="100">
        <f>N78*100/U78</f>
        <v>14.70833333333333</v>
      </c>
      <c r="AI78" s="100"/>
      <c r="AJ78" s="100"/>
      <c r="AK78" s="100"/>
      <c r="AL78" s="100"/>
      <c r="AM78" s="100"/>
      <c r="AN78" s="100"/>
      <c r="AO78" s="100">
        <f t="shared" si="7"/>
        <v>99.999999999999986</v>
      </c>
    </row>
    <row r="79" spans="1:41" x14ac:dyDescent="0.3">
      <c r="A79" s="97">
        <v>353</v>
      </c>
      <c r="B79" s="97"/>
      <c r="C79" s="97"/>
      <c r="D79" s="97"/>
      <c r="E79" s="97">
        <v>3.355</v>
      </c>
      <c r="F79" s="97">
        <v>0.48499999999999999</v>
      </c>
      <c r="G79" s="97"/>
      <c r="H79" s="97"/>
      <c r="I79" s="97"/>
      <c r="J79" s="97"/>
      <c r="K79" s="97"/>
      <c r="L79" s="97">
        <v>0.433</v>
      </c>
      <c r="M79" s="97"/>
      <c r="N79" s="98"/>
      <c r="O79" s="97"/>
      <c r="P79" s="97"/>
      <c r="Q79" s="97"/>
      <c r="R79" s="97">
        <v>9.5000000000000001E-2</v>
      </c>
      <c r="S79" s="97"/>
      <c r="T79" s="97"/>
      <c r="U79" s="99">
        <f t="shared" si="8"/>
        <v>4.3679999999999994</v>
      </c>
      <c r="V79" s="100"/>
      <c r="W79" s="100"/>
      <c r="X79" s="100"/>
      <c r="Y79" s="100">
        <f>E79*100/U79</f>
        <v>76.808608058608073</v>
      </c>
      <c r="Z79" s="100">
        <f>F79*100/U79</f>
        <v>11.103479853479856</v>
      </c>
      <c r="AA79" s="100"/>
      <c r="AB79" s="100"/>
      <c r="AC79" s="100"/>
      <c r="AD79" s="100"/>
      <c r="AE79" s="100"/>
      <c r="AF79" s="100">
        <f>L79*100/U79</f>
        <v>9.9130036630036642</v>
      </c>
      <c r="AG79" s="100"/>
      <c r="AH79" s="100"/>
      <c r="AI79" s="100"/>
      <c r="AJ79" s="100"/>
      <c r="AK79" s="100"/>
      <c r="AL79" s="100">
        <f>R79*100/U79</f>
        <v>2.1749084249084252</v>
      </c>
      <c r="AM79" s="100"/>
      <c r="AN79" s="100"/>
      <c r="AO79" s="100">
        <f t="shared" si="7"/>
        <v>100.00000000000001</v>
      </c>
    </row>
    <row r="80" spans="1:41" x14ac:dyDescent="0.3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104" t="s">
        <v>87</v>
      </c>
      <c r="V80" s="105">
        <f>AVERAGE(V2:V79)</f>
        <v>57.650852681312642</v>
      </c>
      <c r="W80" s="105">
        <f t="shared" ref="W80:AN80" si="9">AVERAGE(W2:W79)</f>
        <v>89.186013270705999</v>
      </c>
      <c r="X80" s="105">
        <f t="shared" si="9"/>
        <v>71.45399502223664</v>
      </c>
      <c r="Y80" s="105">
        <f t="shared" si="9"/>
        <v>72.447382602476779</v>
      </c>
      <c r="Z80" s="105">
        <f t="shared" si="9"/>
        <v>20.27127265353095</v>
      </c>
      <c r="AA80" s="105">
        <f t="shared" si="9"/>
        <v>63.997546167701159</v>
      </c>
      <c r="AB80" s="105">
        <f t="shared" si="9"/>
        <v>29.714899805524372</v>
      </c>
      <c r="AC80" s="105">
        <f t="shared" si="9"/>
        <v>30.822994210090982</v>
      </c>
      <c r="AD80" s="105">
        <f t="shared" si="9"/>
        <v>0.15479876160990708</v>
      </c>
      <c r="AE80" s="105">
        <f t="shared" si="9"/>
        <v>1.3965798980205326</v>
      </c>
      <c r="AF80" s="105">
        <f t="shared" si="9"/>
        <v>2.9320941345864333</v>
      </c>
      <c r="AG80" s="105">
        <f t="shared" si="9"/>
        <v>2.9456062942739454</v>
      </c>
      <c r="AH80" s="105">
        <f t="shared" si="9"/>
        <v>5.1320040425037545</v>
      </c>
      <c r="AI80" s="105">
        <f t="shared" si="9"/>
        <v>2.2952625780389275</v>
      </c>
      <c r="AJ80" s="105">
        <f t="shared" si="9"/>
        <v>0.54235301102353961</v>
      </c>
      <c r="AK80" s="105">
        <f t="shared" si="9"/>
        <v>27.458196600030846</v>
      </c>
      <c r="AL80" s="105">
        <f t="shared" si="9"/>
        <v>0.59145806467192918</v>
      </c>
      <c r="AM80" s="105">
        <f t="shared" si="9"/>
        <v>18.214936247723131</v>
      </c>
      <c r="AN80" s="105">
        <f t="shared" si="9"/>
        <v>0.63694267515923564</v>
      </c>
      <c r="AO80" s="100"/>
    </row>
    <row r="81" spans="17:20" x14ac:dyDescent="0.3">
      <c r="Q81" s="77"/>
      <c r="R81" s="77"/>
      <c r="S81" s="77"/>
      <c r="T81" s="77"/>
    </row>
  </sheetData>
  <mergeCells count="1">
    <mergeCell ref="AR3:AS3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F44C-2FD6-4B6D-A9A7-B40750A05516}">
  <dimension ref="A1:T79"/>
  <sheetViews>
    <sheetView tabSelected="1" workbookViewId="0">
      <selection activeCell="H8" sqref="H8"/>
    </sheetView>
  </sheetViews>
  <sheetFormatPr defaultRowHeight="14.4" x14ac:dyDescent="0.3"/>
  <cols>
    <col min="2" max="2" width="13.33203125" bestFit="1" customWidth="1"/>
    <col min="3" max="3" width="10.77734375" bestFit="1" customWidth="1"/>
    <col min="4" max="4" width="7.21875" bestFit="1" customWidth="1"/>
    <col min="5" max="5" width="9" bestFit="1" customWidth="1"/>
    <col min="6" max="6" width="11.88671875" bestFit="1" customWidth="1"/>
    <col min="7" max="7" width="6" bestFit="1" customWidth="1"/>
    <col min="8" max="8" width="12" bestFit="1" customWidth="1"/>
    <col min="9" max="9" width="6.21875" bestFit="1" customWidth="1"/>
    <col min="10" max="10" width="10.88671875" bestFit="1" customWidth="1"/>
    <col min="11" max="11" width="12" bestFit="1" customWidth="1"/>
    <col min="12" max="12" width="11.21875" bestFit="1" customWidth="1"/>
    <col min="13" max="13" width="10" bestFit="1" customWidth="1"/>
    <col min="14" max="14" width="7.5546875" bestFit="1" customWidth="1"/>
    <col min="15" max="15" width="7.88671875" bestFit="1" customWidth="1"/>
    <col min="16" max="16" width="9.6640625" bestFit="1" customWidth="1"/>
    <col min="17" max="17" width="8.109375" bestFit="1" customWidth="1"/>
    <col min="18" max="18" width="8.6640625" bestFit="1" customWidth="1"/>
    <col min="19" max="19" width="7.5546875" bestFit="1" customWidth="1"/>
    <col min="20" max="20" width="9.33203125" bestFit="1" customWidth="1"/>
  </cols>
  <sheetData>
    <row r="1" spans="1:20" ht="15.6" x14ac:dyDescent="0.3">
      <c r="A1" s="95" t="s">
        <v>4</v>
      </c>
      <c r="B1" s="95" t="s">
        <v>143</v>
      </c>
      <c r="C1" s="95" t="s">
        <v>158</v>
      </c>
      <c r="D1" s="95" t="s">
        <v>9</v>
      </c>
      <c r="E1" s="95" t="s">
        <v>11</v>
      </c>
      <c r="F1" s="95" t="s">
        <v>13</v>
      </c>
      <c r="G1" s="95" t="s">
        <v>15</v>
      </c>
      <c r="H1" s="95" t="s">
        <v>17</v>
      </c>
      <c r="I1" s="95" t="s">
        <v>19</v>
      </c>
      <c r="J1" s="95" t="s">
        <v>21</v>
      </c>
      <c r="K1" s="95" t="s">
        <v>23</v>
      </c>
      <c r="L1" s="95" t="s">
        <v>135</v>
      </c>
      <c r="M1" s="95" t="s">
        <v>27</v>
      </c>
      <c r="N1" s="95" t="s">
        <v>29</v>
      </c>
      <c r="O1" s="95" t="s">
        <v>31</v>
      </c>
      <c r="P1" s="95" t="s">
        <v>144</v>
      </c>
      <c r="Q1" s="95" t="s">
        <v>35</v>
      </c>
      <c r="R1" s="95" t="s">
        <v>37</v>
      </c>
      <c r="S1" s="95" t="s">
        <v>39</v>
      </c>
      <c r="T1" s="95" t="s">
        <v>41</v>
      </c>
    </row>
    <row r="2" spans="1:20" ht="15.6" x14ac:dyDescent="0.3">
      <c r="A2" s="97">
        <v>3</v>
      </c>
      <c r="B2" s="98"/>
      <c r="C2" s="98">
        <v>3.0659999999999998</v>
      </c>
      <c r="D2" s="98"/>
      <c r="E2" s="98"/>
      <c r="F2" s="98"/>
      <c r="G2" s="98"/>
      <c r="H2" s="98"/>
      <c r="I2" s="98"/>
      <c r="J2" s="98"/>
      <c r="K2" s="98"/>
      <c r="L2" s="98">
        <v>0.223</v>
      </c>
      <c r="M2" s="98"/>
      <c r="N2" s="98"/>
      <c r="O2" s="98"/>
      <c r="P2" s="98"/>
      <c r="Q2" s="98"/>
      <c r="R2" s="98">
        <v>0.02</v>
      </c>
      <c r="S2" s="98"/>
      <c r="T2" s="98"/>
    </row>
    <row r="3" spans="1:20" ht="15.6" x14ac:dyDescent="0.3">
      <c r="A3" s="97" t="s">
        <v>52</v>
      </c>
      <c r="B3" s="98"/>
      <c r="C3" s="98"/>
      <c r="D3" s="98"/>
      <c r="E3" s="98"/>
      <c r="F3" s="98">
        <v>2.78</v>
      </c>
      <c r="G3" s="98"/>
      <c r="H3" s="98"/>
      <c r="I3" s="98"/>
      <c r="J3" s="98"/>
      <c r="K3" s="98"/>
      <c r="L3" s="98"/>
      <c r="M3" s="98"/>
      <c r="N3" s="98"/>
      <c r="O3" s="98"/>
      <c r="P3" s="98">
        <v>2.3E-2</v>
      </c>
      <c r="Q3" s="98"/>
      <c r="R3" s="98"/>
      <c r="S3" s="98"/>
      <c r="T3" s="98"/>
    </row>
    <row r="4" spans="1:20" ht="15.6" x14ac:dyDescent="0.3">
      <c r="A4" s="97" t="s">
        <v>54</v>
      </c>
      <c r="B4" s="98"/>
      <c r="C4" s="98"/>
      <c r="D4" s="98">
        <v>1.9379999999999999</v>
      </c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>
        <v>5.0000000000000001E-3</v>
      </c>
      <c r="S4" s="98"/>
      <c r="T4" s="98"/>
    </row>
    <row r="5" spans="1:20" ht="15.6" x14ac:dyDescent="0.3">
      <c r="A5" s="97">
        <v>142</v>
      </c>
      <c r="B5" s="98"/>
      <c r="C5" s="98"/>
      <c r="D5" s="98"/>
      <c r="E5" s="98"/>
      <c r="F5" s="98">
        <v>0.14499999999999999</v>
      </c>
      <c r="G5" s="98">
        <v>0.11</v>
      </c>
      <c r="H5" s="98"/>
      <c r="I5" s="98"/>
      <c r="J5" s="98"/>
      <c r="K5" s="98"/>
      <c r="L5" s="98"/>
      <c r="M5" s="98">
        <v>9.8000000000000004E-2</v>
      </c>
      <c r="N5" s="98"/>
      <c r="O5" s="98"/>
      <c r="P5" s="98"/>
      <c r="Q5" s="98"/>
      <c r="R5" s="98"/>
      <c r="S5" s="98"/>
      <c r="T5" s="98"/>
    </row>
    <row r="6" spans="1:20" ht="15.6" x14ac:dyDescent="0.3">
      <c r="A6" s="97">
        <v>2</v>
      </c>
      <c r="B6" s="98"/>
      <c r="C6" s="98"/>
      <c r="D6" s="98">
        <v>1.115</v>
      </c>
      <c r="E6" s="98"/>
      <c r="F6" s="98">
        <v>0.57699999999999996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>
        <v>8.0000000000000002E-3</v>
      </c>
      <c r="S6" s="98"/>
      <c r="T6" s="98"/>
    </row>
    <row r="7" spans="1:20" ht="15.6" x14ac:dyDescent="0.3">
      <c r="A7" s="97" t="s">
        <v>58</v>
      </c>
      <c r="B7" s="98"/>
      <c r="C7" s="98"/>
      <c r="D7" s="98"/>
      <c r="E7" s="98"/>
      <c r="F7" s="98">
        <v>1.552</v>
      </c>
      <c r="G7" s="98"/>
      <c r="H7" s="98"/>
      <c r="I7" s="98"/>
      <c r="J7" s="98"/>
      <c r="K7" s="98"/>
      <c r="L7" s="98">
        <v>2.5000000000000001E-2</v>
      </c>
      <c r="M7" s="98"/>
      <c r="N7" s="98"/>
      <c r="O7" s="98"/>
      <c r="P7" s="98"/>
      <c r="Q7" s="98"/>
      <c r="R7" s="98"/>
      <c r="S7" s="98"/>
      <c r="T7" s="98"/>
    </row>
    <row r="8" spans="1:20" ht="15.6" x14ac:dyDescent="0.3">
      <c r="A8" s="97">
        <v>161</v>
      </c>
      <c r="B8" s="98"/>
      <c r="C8" s="98">
        <v>2.7309999999999999</v>
      </c>
      <c r="D8" s="98"/>
      <c r="E8" s="98"/>
      <c r="F8" s="98">
        <v>0.46500000000000002</v>
      </c>
      <c r="G8" s="98"/>
      <c r="H8" s="98"/>
      <c r="I8" s="98"/>
      <c r="J8" s="98"/>
      <c r="K8" s="98"/>
      <c r="L8" s="98">
        <v>0.02</v>
      </c>
      <c r="M8" s="98"/>
      <c r="N8" s="98"/>
      <c r="O8" s="98"/>
      <c r="P8" s="98"/>
      <c r="Q8" s="98"/>
      <c r="R8" s="98"/>
      <c r="S8" s="98"/>
      <c r="T8" s="98"/>
    </row>
    <row r="9" spans="1:20" ht="15.6" x14ac:dyDescent="0.3">
      <c r="A9" s="97">
        <v>172</v>
      </c>
      <c r="B9" s="98">
        <v>0.63800000000000001</v>
      </c>
      <c r="C9" s="98"/>
      <c r="D9" s="98"/>
      <c r="E9" s="98"/>
      <c r="F9" s="98">
        <v>0.2</v>
      </c>
      <c r="G9" s="98"/>
      <c r="H9" s="98">
        <v>0.17499999999999999</v>
      </c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</row>
    <row r="10" spans="1:20" ht="15.6" x14ac:dyDescent="0.3">
      <c r="A10" s="97">
        <v>169</v>
      </c>
      <c r="B10" s="98"/>
      <c r="C10" s="98"/>
      <c r="D10" s="98"/>
      <c r="E10" s="98"/>
      <c r="F10" s="98">
        <v>2.129</v>
      </c>
      <c r="G10" s="98"/>
      <c r="H10" s="98"/>
      <c r="I10" s="98"/>
      <c r="J10" s="98"/>
      <c r="K10" s="98"/>
      <c r="L10" s="98"/>
      <c r="M10" s="98">
        <v>0.13</v>
      </c>
      <c r="N10" s="98"/>
      <c r="O10" s="98"/>
      <c r="P10" s="98">
        <v>3.5000000000000003E-2</v>
      </c>
      <c r="Q10" s="98"/>
      <c r="R10" s="98"/>
      <c r="S10" s="98"/>
      <c r="T10" s="98"/>
    </row>
    <row r="11" spans="1:20" ht="15.6" x14ac:dyDescent="0.3">
      <c r="A11" s="97" t="s">
        <v>60</v>
      </c>
      <c r="B11" s="98"/>
      <c r="C11" s="98"/>
      <c r="D11" s="98"/>
      <c r="E11" s="98"/>
      <c r="F11" s="98">
        <v>0.95</v>
      </c>
      <c r="G11" s="98">
        <v>2.5449999999999999</v>
      </c>
      <c r="H11" s="98"/>
      <c r="I11" s="98"/>
      <c r="J11" s="98"/>
      <c r="K11" s="98"/>
      <c r="L11" s="98">
        <v>0.3</v>
      </c>
      <c r="M11" s="98"/>
      <c r="N11" s="98"/>
      <c r="O11" s="98"/>
      <c r="P11" s="98"/>
      <c r="Q11" s="98"/>
      <c r="R11" s="98"/>
      <c r="S11" s="98"/>
      <c r="T11" s="98"/>
    </row>
    <row r="12" spans="1:20" ht="15.6" x14ac:dyDescent="0.3">
      <c r="A12" s="97">
        <v>173</v>
      </c>
      <c r="B12" s="98"/>
      <c r="C12" s="98"/>
      <c r="D12" s="98"/>
      <c r="E12" s="98"/>
      <c r="F12" s="98"/>
      <c r="G12" s="98">
        <v>4.17</v>
      </c>
      <c r="H12" s="98"/>
      <c r="I12" s="98"/>
      <c r="J12" s="98"/>
      <c r="K12" s="98"/>
      <c r="L12" s="98">
        <v>1.7999999999999999E-2</v>
      </c>
      <c r="M12" s="98"/>
      <c r="N12" s="98"/>
      <c r="O12" s="98"/>
      <c r="P12" s="98"/>
      <c r="Q12" s="98"/>
      <c r="R12" s="98"/>
      <c r="S12" s="98"/>
      <c r="T12" s="98"/>
    </row>
    <row r="13" spans="1:20" ht="15.6" x14ac:dyDescent="0.3">
      <c r="A13" s="97">
        <v>251</v>
      </c>
      <c r="B13" s="98"/>
      <c r="C13" s="98"/>
      <c r="D13" s="98">
        <v>0.72399999999999998</v>
      </c>
      <c r="E13" s="98">
        <v>4.6500000000000004</v>
      </c>
      <c r="F13" s="98">
        <v>0.22600000000000001</v>
      </c>
      <c r="G13" s="98"/>
      <c r="H13" s="98"/>
      <c r="I13" s="98"/>
      <c r="J13" s="98">
        <v>8.9999999999999993E-3</v>
      </c>
      <c r="K13" s="98"/>
      <c r="L13" s="98"/>
      <c r="M13" s="98"/>
      <c r="N13" s="98">
        <v>0.19800000000000001</v>
      </c>
      <c r="O13" s="98"/>
      <c r="P13" s="98"/>
      <c r="Q13" s="98"/>
      <c r="R13" s="98">
        <v>7.0000000000000001E-3</v>
      </c>
      <c r="S13" s="98"/>
      <c r="T13" s="98"/>
    </row>
    <row r="14" spans="1:20" ht="15.6" x14ac:dyDescent="0.3">
      <c r="A14" s="97">
        <v>4</v>
      </c>
      <c r="B14" s="98"/>
      <c r="C14" s="98"/>
      <c r="D14" s="98">
        <v>0.72</v>
      </c>
      <c r="E14" s="98">
        <v>2.1</v>
      </c>
      <c r="F14" s="98"/>
      <c r="G14" s="98">
        <v>1.6819999999999999</v>
      </c>
      <c r="H14" s="98"/>
      <c r="I14" s="98"/>
      <c r="J14" s="98"/>
      <c r="K14" s="98">
        <v>0.2</v>
      </c>
      <c r="L14" s="98"/>
      <c r="M14" s="98"/>
      <c r="N14" s="98">
        <v>0.67</v>
      </c>
      <c r="O14" s="98"/>
      <c r="P14" s="98"/>
      <c r="Q14" s="98"/>
      <c r="R14" s="98"/>
      <c r="S14" s="98"/>
      <c r="T14" s="98"/>
    </row>
    <row r="15" spans="1:20" ht="15.6" x14ac:dyDescent="0.3">
      <c r="A15" s="97">
        <v>232</v>
      </c>
      <c r="B15" s="98"/>
      <c r="C15" s="98">
        <v>2.2999999999999998</v>
      </c>
      <c r="D15" s="98"/>
      <c r="E15" s="98"/>
      <c r="F15" s="98"/>
      <c r="G15" s="98"/>
      <c r="H15" s="98"/>
      <c r="I15" s="98"/>
      <c r="J15" s="98"/>
      <c r="K15" s="98"/>
      <c r="L15" s="98">
        <v>0.01</v>
      </c>
      <c r="M15" s="98"/>
      <c r="N15" s="98"/>
      <c r="O15" s="98"/>
      <c r="P15" s="98"/>
      <c r="Q15" s="98">
        <v>0.20699999999999999</v>
      </c>
      <c r="R15" s="98"/>
      <c r="S15" s="98"/>
      <c r="T15" s="98"/>
    </row>
    <row r="16" spans="1:20" ht="15.6" x14ac:dyDescent="0.3">
      <c r="A16" s="97">
        <v>242</v>
      </c>
      <c r="B16" s="98"/>
      <c r="C16" s="98">
        <v>3.5249999999999999</v>
      </c>
      <c r="D16" s="98"/>
      <c r="E16" s="98"/>
      <c r="F16" s="98">
        <v>0.4</v>
      </c>
      <c r="G16" s="98"/>
      <c r="H16" s="98"/>
      <c r="I16" s="98"/>
      <c r="J16" s="98"/>
      <c r="K16" s="98"/>
      <c r="L16" s="98">
        <v>0.01</v>
      </c>
      <c r="M16" s="98"/>
      <c r="N16" s="98"/>
      <c r="O16" s="98"/>
      <c r="P16" s="98"/>
      <c r="Q16" s="98"/>
      <c r="R16" s="98"/>
      <c r="S16" s="98"/>
      <c r="T16" s="98"/>
    </row>
    <row r="17" spans="1:20" ht="15.6" x14ac:dyDescent="0.3">
      <c r="A17" s="97">
        <v>234</v>
      </c>
      <c r="B17" s="98"/>
      <c r="C17" s="98"/>
      <c r="D17" s="98"/>
      <c r="E17" s="98"/>
      <c r="F17" s="98"/>
      <c r="G17" s="98">
        <v>0.16</v>
      </c>
      <c r="H17" s="98"/>
      <c r="I17" s="98"/>
      <c r="J17" s="98"/>
      <c r="K17" s="98"/>
      <c r="L17" s="98"/>
      <c r="M17" s="98">
        <v>3.0000000000000001E-3</v>
      </c>
      <c r="N17" s="98"/>
      <c r="O17" s="98"/>
      <c r="P17" s="98"/>
      <c r="Q17" s="98"/>
      <c r="R17" s="98"/>
      <c r="S17" s="98"/>
      <c r="T17" s="98"/>
    </row>
    <row r="18" spans="1:20" ht="15.6" x14ac:dyDescent="0.3">
      <c r="A18" s="97">
        <v>218</v>
      </c>
      <c r="B18" s="98"/>
      <c r="C18" s="98"/>
      <c r="D18" s="98"/>
      <c r="E18" s="98"/>
      <c r="F18" s="98">
        <v>2.1999999999999999E-2</v>
      </c>
      <c r="G18" s="98">
        <v>0.24</v>
      </c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</row>
    <row r="19" spans="1:20" ht="15.6" x14ac:dyDescent="0.3">
      <c r="A19" s="97">
        <v>229</v>
      </c>
      <c r="B19" s="98"/>
      <c r="C19" s="98"/>
      <c r="D19" s="98"/>
      <c r="E19" s="98"/>
      <c r="F19" s="98"/>
      <c r="G19" s="98">
        <v>3.73</v>
      </c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</row>
    <row r="20" spans="1:20" ht="15.6" x14ac:dyDescent="0.3">
      <c r="A20" s="97">
        <v>246</v>
      </c>
      <c r="B20" s="98">
        <v>2.9249999999999998</v>
      </c>
      <c r="C20" s="98"/>
      <c r="D20" s="98"/>
      <c r="E20" s="98"/>
      <c r="F20" s="98">
        <v>2.1</v>
      </c>
      <c r="G20" s="98"/>
      <c r="H20" s="98">
        <v>0.10299999999999999</v>
      </c>
      <c r="I20" s="98"/>
      <c r="J20" s="98"/>
      <c r="K20" s="98"/>
      <c r="L20" s="98">
        <v>0.1</v>
      </c>
      <c r="M20" s="98"/>
      <c r="N20" s="98"/>
      <c r="O20" s="98"/>
      <c r="P20" s="98"/>
      <c r="Q20" s="98"/>
      <c r="R20" s="98">
        <v>0.1</v>
      </c>
      <c r="S20" s="98"/>
      <c r="T20" s="98"/>
    </row>
    <row r="21" spans="1:20" ht="15.6" x14ac:dyDescent="0.3">
      <c r="A21" s="97">
        <v>253</v>
      </c>
      <c r="B21" s="98"/>
      <c r="C21" s="98"/>
      <c r="D21" s="98">
        <v>1.5680000000000001</v>
      </c>
      <c r="E21" s="98"/>
      <c r="F21" s="98">
        <v>0.5</v>
      </c>
      <c r="G21" s="98">
        <v>0.13</v>
      </c>
      <c r="H21" s="98"/>
      <c r="I21" s="98"/>
      <c r="J21" s="98"/>
      <c r="K21" s="98"/>
      <c r="L21" s="98">
        <v>2.5000000000000001E-2</v>
      </c>
      <c r="M21" s="98"/>
      <c r="N21" s="98"/>
      <c r="O21" s="98"/>
      <c r="P21" s="98"/>
      <c r="Q21" s="98"/>
      <c r="R21" s="98">
        <v>4.0000000000000001E-3</v>
      </c>
      <c r="S21" s="98"/>
      <c r="T21" s="98"/>
    </row>
    <row r="22" spans="1:20" ht="15.6" x14ac:dyDescent="0.3">
      <c r="A22" s="97">
        <v>243</v>
      </c>
      <c r="B22" s="98"/>
      <c r="C22" s="98"/>
      <c r="D22" s="98"/>
      <c r="E22" s="98"/>
      <c r="F22" s="98">
        <v>0.1</v>
      </c>
      <c r="G22" s="98">
        <v>2.2999999999999998</v>
      </c>
      <c r="H22" s="98"/>
      <c r="I22" s="98"/>
      <c r="J22" s="98"/>
      <c r="K22" s="98"/>
      <c r="L22" s="98"/>
      <c r="M22" s="98">
        <v>0.15</v>
      </c>
      <c r="N22" s="98"/>
      <c r="O22" s="98"/>
      <c r="P22" s="98"/>
      <c r="Q22" s="98"/>
      <c r="R22" s="98"/>
      <c r="S22" s="98"/>
      <c r="T22" s="98"/>
    </row>
    <row r="23" spans="1:20" ht="15.6" x14ac:dyDescent="0.3">
      <c r="A23" s="97">
        <v>239</v>
      </c>
      <c r="B23" s="98"/>
      <c r="C23" s="98"/>
      <c r="D23" s="98">
        <v>3.8250000000000002</v>
      </c>
      <c r="E23" s="98"/>
      <c r="F23" s="98">
        <v>0.03</v>
      </c>
      <c r="G23" s="98"/>
      <c r="H23" s="98"/>
      <c r="I23" s="98"/>
      <c r="J23" s="98"/>
      <c r="K23" s="98"/>
      <c r="L23" s="98"/>
      <c r="M23" s="98"/>
      <c r="N23" s="98">
        <v>0.75</v>
      </c>
      <c r="O23" s="98"/>
      <c r="P23" s="98"/>
      <c r="Q23" s="98"/>
      <c r="R23" s="98">
        <v>5.0000000000000001E-3</v>
      </c>
      <c r="S23" s="98"/>
      <c r="T23" s="98"/>
    </row>
    <row r="24" spans="1:20" ht="15.6" x14ac:dyDescent="0.3">
      <c r="A24" s="97">
        <v>227</v>
      </c>
      <c r="B24" s="98"/>
      <c r="C24" s="98"/>
      <c r="D24" s="98"/>
      <c r="E24" s="98">
        <v>0.7</v>
      </c>
      <c r="F24" s="98">
        <v>2.5000000000000001E-2</v>
      </c>
      <c r="G24" s="98">
        <v>0.75</v>
      </c>
      <c r="H24" s="98"/>
      <c r="I24" s="98"/>
      <c r="J24" s="98"/>
      <c r="K24" s="98"/>
      <c r="L24" s="98"/>
      <c r="M24" s="98">
        <v>7.0000000000000001E-3</v>
      </c>
      <c r="N24" s="98"/>
      <c r="O24" s="98"/>
      <c r="P24" s="98"/>
      <c r="Q24" s="98"/>
      <c r="R24" s="98"/>
      <c r="S24" s="98"/>
      <c r="T24" s="98"/>
    </row>
    <row r="25" spans="1:20" ht="15.6" x14ac:dyDescent="0.3">
      <c r="A25" s="97">
        <v>238</v>
      </c>
      <c r="B25" s="98"/>
      <c r="C25" s="98"/>
      <c r="D25" s="98"/>
      <c r="E25" s="98"/>
      <c r="F25" s="98">
        <v>1.7</v>
      </c>
      <c r="G25" s="98">
        <v>0.47499999999999998</v>
      </c>
      <c r="H25" s="98"/>
      <c r="I25" s="98"/>
      <c r="J25" s="98"/>
      <c r="K25" s="98"/>
      <c r="L25" s="98"/>
      <c r="M25" s="98"/>
      <c r="N25" s="98">
        <v>0.3</v>
      </c>
      <c r="O25" s="98"/>
      <c r="P25" s="98"/>
      <c r="Q25" s="98"/>
      <c r="R25" s="98">
        <v>7.4999999999999997E-2</v>
      </c>
      <c r="S25" s="98"/>
      <c r="T25" s="98"/>
    </row>
    <row r="26" spans="1:20" ht="15.6" x14ac:dyDescent="0.3">
      <c r="A26" s="97">
        <v>236</v>
      </c>
      <c r="B26" s="98"/>
      <c r="C26" s="98"/>
      <c r="D26" s="98"/>
      <c r="E26" s="98"/>
      <c r="F26" s="98"/>
      <c r="G26" s="98">
        <v>1.625</v>
      </c>
      <c r="H26" s="98"/>
      <c r="I26" s="98"/>
      <c r="J26" s="98"/>
      <c r="K26" s="98"/>
      <c r="L26" s="98"/>
      <c r="M26" s="98">
        <v>0.05</v>
      </c>
      <c r="N26" s="98"/>
      <c r="O26" s="98"/>
      <c r="P26" s="98"/>
      <c r="Q26" s="98"/>
      <c r="R26" s="98"/>
      <c r="S26" s="98"/>
      <c r="T26" s="98"/>
    </row>
    <row r="27" spans="1:20" ht="15.6" x14ac:dyDescent="0.3">
      <c r="A27" s="97">
        <v>235</v>
      </c>
      <c r="B27" s="98"/>
      <c r="C27" s="98"/>
      <c r="D27" s="98"/>
      <c r="E27" s="98"/>
      <c r="F27" s="98">
        <v>0.1</v>
      </c>
      <c r="G27" s="98">
        <v>3.85</v>
      </c>
      <c r="H27" s="98"/>
      <c r="I27" s="98"/>
      <c r="J27" s="98"/>
      <c r="K27" s="98"/>
      <c r="L27" s="98"/>
      <c r="M27" s="98">
        <v>0.15</v>
      </c>
      <c r="N27" s="98">
        <v>2.5000000000000001E-2</v>
      </c>
      <c r="O27" s="98"/>
      <c r="P27" s="98"/>
      <c r="Q27" s="98"/>
      <c r="R27" s="98">
        <v>2.5000000000000001E-2</v>
      </c>
      <c r="S27" s="98"/>
      <c r="T27" s="98"/>
    </row>
    <row r="28" spans="1:20" ht="15.6" x14ac:dyDescent="0.3">
      <c r="A28" s="97">
        <v>225</v>
      </c>
      <c r="B28" s="98"/>
      <c r="C28" s="98"/>
      <c r="D28" s="98"/>
      <c r="E28" s="98"/>
      <c r="F28" s="98">
        <v>1.2</v>
      </c>
      <c r="G28" s="98">
        <v>6.25</v>
      </c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</row>
    <row r="29" spans="1:20" ht="15.6" x14ac:dyDescent="0.3">
      <c r="A29" s="97">
        <v>240</v>
      </c>
      <c r="B29" s="98"/>
      <c r="C29" s="98"/>
      <c r="D29" s="98">
        <v>0.22</v>
      </c>
      <c r="E29" s="98"/>
      <c r="F29" s="98">
        <v>0.05</v>
      </c>
      <c r="G29" s="98">
        <v>5.1630000000000003</v>
      </c>
      <c r="H29" s="98"/>
      <c r="I29" s="98"/>
      <c r="J29" s="98"/>
      <c r="K29" s="98"/>
      <c r="L29" s="98"/>
      <c r="M29" s="98">
        <v>2.5000000000000001E-2</v>
      </c>
      <c r="N29" s="98"/>
      <c r="O29" s="98"/>
      <c r="P29" s="98"/>
      <c r="Q29" s="98"/>
      <c r="R29" s="98"/>
      <c r="S29" s="98"/>
      <c r="T29" s="98"/>
    </row>
    <row r="30" spans="1:20" ht="15.6" x14ac:dyDescent="0.3">
      <c r="A30" s="97">
        <v>250</v>
      </c>
      <c r="B30" s="98"/>
      <c r="C30" s="98"/>
      <c r="D30" s="98"/>
      <c r="E30" s="98"/>
      <c r="F30" s="98">
        <v>0.05</v>
      </c>
      <c r="G30" s="98">
        <v>7.5</v>
      </c>
      <c r="H30" s="98"/>
      <c r="I30" s="98"/>
      <c r="J30" s="98"/>
      <c r="K30" s="98"/>
      <c r="L30" s="98"/>
      <c r="M30" s="98">
        <v>0.10299999999999999</v>
      </c>
      <c r="N30" s="98"/>
      <c r="O30" s="98"/>
      <c r="P30" s="98"/>
      <c r="Q30" s="98"/>
      <c r="R30" s="98"/>
      <c r="S30" s="98"/>
      <c r="T30" s="98"/>
    </row>
    <row r="31" spans="1:20" ht="15.6" x14ac:dyDescent="0.3">
      <c r="A31" s="97">
        <v>221</v>
      </c>
      <c r="B31" s="98"/>
      <c r="C31" s="98">
        <v>3.8530000000000002</v>
      </c>
      <c r="D31" s="98"/>
      <c r="E31" s="98"/>
      <c r="F31" s="98">
        <v>4.7E-2</v>
      </c>
      <c r="G31" s="98"/>
      <c r="H31" s="98"/>
      <c r="I31" s="98"/>
      <c r="J31" s="98"/>
      <c r="K31" s="98">
        <v>4.0000000000000001E-3</v>
      </c>
      <c r="L31" s="98"/>
      <c r="M31" s="98">
        <v>1E-3</v>
      </c>
      <c r="N31" s="98"/>
      <c r="O31" s="98"/>
      <c r="P31" s="98"/>
      <c r="Q31" s="98"/>
      <c r="R31" s="98"/>
      <c r="S31" s="98"/>
      <c r="T31" s="98"/>
    </row>
    <row r="32" spans="1:20" ht="15.6" x14ac:dyDescent="0.3">
      <c r="A32" s="97">
        <v>220</v>
      </c>
      <c r="B32" s="98"/>
      <c r="C32" s="98">
        <v>3.7250000000000001</v>
      </c>
      <c r="D32" s="98"/>
      <c r="E32" s="98"/>
      <c r="F32" s="98"/>
      <c r="G32" s="98"/>
      <c r="H32" s="98"/>
      <c r="I32" s="98"/>
      <c r="J32" s="98"/>
      <c r="K32" s="98"/>
      <c r="L32" s="98">
        <v>0.1</v>
      </c>
      <c r="M32" s="98"/>
      <c r="N32" s="98"/>
      <c r="O32" s="98"/>
      <c r="P32" s="98"/>
      <c r="Q32" s="98"/>
      <c r="R32" s="98"/>
      <c r="S32" s="98"/>
      <c r="T32" s="98"/>
    </row>
    <row r="33" spans="1:20" ht="15.6" x14ac:dyDescent="0.3">
      <c r="A33" s="97">
        <v>247</v>
      </c>
      <c r="B33" s="98"/>
      <c r="C33" s="98"/>
      <c r="D33" s="98"/>
      <c r="E33" s="98"/>
      <c r="F33" s="98">
        <v>4.1000000000000002E-2</v>
      </c>
      <c r="G33" s="98">
        <v>1.62</v>
      </c>
      <c r="H33" s="98"/>
      <c r="I33" s="98"/>
      <c r="J33" s="98"/>
      <c r="K33" s="98"/>
      <c r="L33" s="98"/>
      <c r="M33" s="98">
        <v>3.4000000000000002E-2</v>
      </c>
      <c r="N33" s="98"/>
      <c r="O33" s="98"/>
      <c r="P33" s="98">
        <v>2E-3</v>
      </c>
      <c r="Q33" s="98"/>
      <c r="R33" s="98"/>
      <c r="S33" s="98"/>
      <c r="T33" s="98"/>
    </row>
    <row r="34" spans="1:20" ht="15.6" x14ac:dyDescent="0.3">
      <c r="A34" s="97">
        <v>224</v>
      </c>
      <c r="B34" s="98"/>
      <c r="C34" s="98"/>
      <c r="D34" s="98"/>
      <c r="E34" s="98"/>
      <c r="F34" s="98">
        <v>2.5000000000000001E-2</v>
      </c>
      <c r="G34" s="98">
        <v>2.4079999999999999</v>
      </c>
      <c r="H34" s="98"/>
      <c r="I34" s="98"/>
      <c r="J34" s="98"/>
      <c r="K34" s="98"/>
      <c r="L34" s="98"/>
      <c r="M34" s="98">
        <v>2E-3</v>
      </c>
      <c r="N34" s="98"/>
      <c r="O34" s="98"/>
      <c r="P34" s="98"/>
      <c r="Q34" s="98"/>
      <c r="R34" s="98">
        <v>2E-3</v>
      </c>
      <c r="S34" s="98"/>
      <c r="T34" s="98"/>
    </row>
    <row r="35" spans="1:20" ht="15.6" x14ac:dyDescent="0.3">
      <c r="A35" s="97">
        <v>222</v>
      </c>
      <c r="B35" s="98"/>
      <c r="C35" s="98"/>
      <c r="D35" s="98"/>
      <c r="E35" s="98"/>
      <c r="F35" s="98">
        <v>0.03</v>
      </c>
      <c r="G35" s="98">
        <v>3.823</v>
      </c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</row>
    <row r="36" spans="1:20" ht="15.6" x14ac:dyDescent="0.3">
      <c r="A36" s="97">
        <v>136</v>
      </c>
      <c r="B36" s="98">
        <v>0.42499999999999999</v>
      </c>
      <c r="C36" s="98"/>
      <c r="D36" s="98"/>
      <c r="E36" s="98"/>
      <c r="F36" s="98">
        <v>2.9510000000000001</v>
      </c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</row>
    <row r="37" spans="1:20" ht="15.6" x14ac:dyDescent="0.3">
      <c r="A37" s="97">
        <v>213</v>
      </c>
      <c r="B37" s="98"/>
      <c r="C37" s="98"/>
      <c r="D37" s="98">
        <v>4.423</v>
      </c>
      <c r="E37" s="98"/>
      <c r="F37" s="98">
        <v>4.5999999999999999E-2</v>
      </c>
      <c r="G37" s="98">
        <v>0.80200000000000005</v>
      </c>
      <c r="H37" s="98"/>
      <c r="I37" s="98"/>
      <c r="J37" s="98"/>
      <c r="K37" s="98"/>
      <c r="L37" s="98">
        <v>0.05</v>
      </c>
      <c r="M37" s="98"/>
      <c r="N37" s="98"/>
      <c r="O37" s="98">
        <v>0.125</v>
      </c>
      <c r="P37" s="98"/>
      <c r="Q37" s="98"/>
      <c r="R37" s="98"/>
      <c r="S37" s="98"/>
      <c r="T37" s="98"/>
    </row>
    <row r="38" spans="1:20" ht="15.6" x14ac:dyDescent="0.3">
      <c r="A38" s="97">
        <v>212</v>
      </c>
      <c r="B38" s="98"/>
      <c r="C38" s="98"/>
      <c r="D38" s="98"/>
      <c r="E38" s="98">
        <v>1.25</v>
      </c>
      <c r="F38" s="98"/>
      <c r="G38" s="98">
        <v>0.127</v>
      </c>
      <c r="H38" s="98">
        <v>3.0000000000000001E-3</v>
      </c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</row>
    <row r="39" spans="1:20" ht="15.6" x14ac:dyDescent="0.3">
      <c r="A39" s="97">
        <v>209</v>
      </c>
      <c r="B39" s="98"/>
      <c r="C39" s="98"/>
      <c r="D39" s="98"/>
      <c r="E39" s="98"/>
      <c r="F39" s="98"/>
      <c r="G39" s="98">
        <v>1.27</v>
      </c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>
        <v>5.0000000000000001E-3</v>
      </c>
      <c r="S39" s="98"/>
      <c r="T39" s="98"/>
    </row>
    <row r="40" spans="1:20" ht="15.6" x14ac:dyDescent="0.3">
      <c r="A40" s="97">
        <v>45</v>
      </c>
      <c r="B40" s="98"/>
      <c r="C40" s="98"/>
      <c r="D40" s="98">
        <v>1.83</v>
      </c>
      <c r="E40" s="98"/>
      <c r="F40" s="98">
        <v>5.0000000000000001E-3</v>
      </c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>
        <v>7.0000000000000001E-3</v>
      </c>
      <c r="R40" s="98"/>
      <c r="S40" s="98"/>
      <c r="T40" s="98"/>
    </row>
    <row r="41" spans="1:20" ht="15.6" x14ac:dyDescent="0.3">
      <c r="A41" s="97">
        <v>219</v>
      </c>
      <c r="B41" s="98"/>
      <c r="C41" s="98"/>
      <c r="D41" s="98"/>
      <c r="E41" s="98"/>
      <c r="F41" s="98"/>
      <c r="G41" s="98">
        <v>0.25</v>
      </c>
      <c r="H41" s="98"/>
      <c r="I41" s="98">
        <v>3</v>
      </c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</row>
    <row r="42" spans="1:20" ht="15.6" x14ac:dyDescent="0.3">
      <c r="A42" s="97">
        <v>53</v>
      </c>
      <c r="B42" s="98"/>
      <c r="C42" s="98"/>
      <c r="D42" s="98"/>
      <c r="E42" s="98"/>
      <c r="F42" s="98">
        <v>2</v>
      </c>
      <c r="G42" s="98">
        <v>2.218</v>
      </c>
      <c r="H42" s="98"/>
      <c r="I42" s="98"/>
      <c r="J42" s="98"/>
      <c r="K42" s="98"/>
      <c r="L42" s="98"/>
      <c r="M42" s="98">
        <v>0.02</v>
      </c>
      <c r="N42" s="98"/>
      <c r="O42" s="98"/>
      <c r="P42" s="98">
        <v>8.9999999999999993E-3</v>
      </c>
      <c r="Q42" s="98"/>
      <c r="R42" s="98"/>
      <c r="S42" s="98"/>
      <c r="T42" s="98"/>
    </row>
    <row r="43" spans="1:20" ht="15.6" x14ac:dyDescent="0.3">
      <c r="A43" s="97">
        <v>241</v>
      </c>
      <c r="B43" s="98"/>
      <c r="C43" s="98"/>
      <c r="D43" s="98"/>
      <c r="E43" s="98">
        <v>3.0550000000000002</v>
      </c>
      <c r="F43" s="98"/>
      <c r="G43" s="98">
        <v>1.125</v>
      </c>
      <c r="H43" s="98"/>
      <c r="I43" s="98"/>
      <c r="J43" s="98"/>
      <c r="K43" s="98"/>
      <c r="L43" s="98"/>
      <c r="M43" s="98">
        <v>3.0000000000000001E-3</v>
      </c>
      <c r="N43" s="98"/>
      <c r="O43" s="98"/>
      <c r="P43" s="98"/>
      <c r="Q43" s="98"/>
      <c r="R43" s="98"/>
      <c r="S43" s="98"/>
      <c r="T43" s="98"/>
    </row>
    <row r="44" spans="1:20" ht="15.6" x14ac:dyDescent="0.3">
      <c r="A44" s="97">
        <v>135</v>
      </c>
      <c r="B44" s="98"/>
      <c r="C44" s="98"/>
      <c r="D44" s="98"/>
      <c r="E44" s="98"/>
      <c r="F44" s="98"/>
      <c r="G44" s="98">
        <v>1.01</v>
      </c>
      <c r="H44" s="98"/>
      <c r="I44" s="98">
        <v>2.2999999999999998</v>
      </c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</row>
    <row r="45" spans="1:20" ht="15.6" x14ac:dyDescent="0.3">
      <c r="A45" s="97">
        <v>137</v>
      </c>
      <c r="B45" s="98"/>
      <c r="C45" s="98"/>
      <c r="D45" s="98"/>
      <c r="E45" s="98">
        <v>2.7</v>
      </c>
      <c r="F45" s="98"/>
      <c r="G45" s="98">
        <v>0.85</v>
      </c>
      <c r="H45" s="98"/>
      <c r="I45" s="98"/>
      <c r="J45" s="98"/>
      <c r="K45" s="98"/>
      <c r="L45" s="98"/>
      <c r="M45" s="98">
        <v>0.2</v>
      </c>
      <c r="N45" s="98"/>
      <c r="O45" s="98"/>
      <c r="P45" s="98"/>
      <c r="Q45" s="98"/>
      <c r="R45" s="98"/>
      <c r="S45" s="98"/>
      <c r="T45" s="98"/>
    </row>
    <row r="46" spans="1:20" ht="15.6" x14ac:dyDescent="0.3">
      <c r="A46" s="97">
        <v>55</v>
      </c>
      <c r="B46" s="98"/>
      <c r="C46" s="98">
        <v>0.80600000000000005</v>
      </c>
      <c r="D46" s="98"/>
      <c r="E46" s="98"/>
      <c r="F46" s="98">
        <v>0.03</v>
      </c>
      <c r="G46" s="98">
        <v>0.52500000000000002</v>
      </c>
      <c r="H46" s="98"/>
      <c r="I46" s="98"/>
      <c r="J46" s="98"/>
      <c r="K46" s="98"/>
      <c r="L46" s="98">
        <v>9.8000000000000004E-2</v>
      </c>
      <c r="M46" s="98"/>
      <c r="N46" s="98"/>
      <c r="O46" s="98"/>
      <c r="P46" s="98"/>
      <c r="Q46" s="98"/>
      <c r="R46" s="98"/>
      <c r="S46" s="98"/>
      <c r="T46" s="98"/>
    </row>
    <row r="47" spans="1:20" ht="15.6" x14ac:dyDescent="0.3">
      <c r="A47" s="97" t="s">
        <v>66</v>
      </c>
      <c r="B47" s="98">
        <v>1</v>
      </c>
      <c r="C47" s="98"/>
      <c r="D47" s="98"/>
      <c r="E47" s="98"/>
      <c r="F47" s="98">
        <v>1.5</v>
      </c>
      <c r="G47" s="98"/>
      <c r="H47" s="98"/>
      <c r="I47" s="98"/>
      <c r="J47" s="98"/>
      <c r="K47" s="98"/>
      <c r="L47" s="98">
        <v>0.01</v>
      </c>
      <c r="M47" s="98"/>
      <c r="N47" s="98"/>
      <c r="O47" s="98"/>
      <c r="P47" s="98"/>
      <c r="Q47" s="98"/>
      <c r="R47" s="98">
        <v>5.0000000000000001E-3</v>
      </c>
      <c r="S47" s="98"/>
      <c r="T47" s="98"/>
    </row>
    <row r="48" spans="1:20" ht="15.6" x14ac:dyDescent="0.3">
      <c r="A48" s="97">
        <v>237</v>
      </c>
      <c r="B48" s="98"/>
      <c r="C48" s="98"/>
      <c r="D48" s="98"/>
      <c r="E48" s="98"/>
      <c r="F48" s="98"/>
      <c r="G48" s="98">
        <v>3.7250000000000001</v>
      </c>
      <c r="H48" s="98"/>
      <c r="I48" s="98"/>
      <c r="J48" s="98"/>
      <c r="K48" s="98"/>
      <c r="L48" s="98"/>
      <c r="M48" s="98">
        <v>5.0000000000000001E-3</v>
      </c>
      <c r="N48" s="98"/>
      <c r="O48" s="98"/>
      <c r="P48" s="98"/>
      <c r="Q48" s="98"/>
      <c r="R48" s="98"/>
      <c r="S48" s="98"/>
      <c r="T48" s="98"/>
    </row>
    <row r="49" spans="1:20" ht="15.6" x14ac:dyDescent="0.3">
      <c r="A49" s="97">
        <v>231</v>
      </c>
      <c r="B49" s="98"/>
      <c r="C49" s="98"/>
      <c r="D49" s="98"/>
      <c r="E49" s="98">
        <v>4.8949999999999996</v>
      </c>
      <c r="F49" s="98">
        <v>0.05</v>
      </c>
      <c r="G49" s="98"/>
      <c r="H49" s="98"/>
      <c r="I49" s="98"/>
      <c r="J49" s="98"/>
      <c r="K49" s="98"/>
      <c r="L49" s="98">
        <v>8.3000000000000004E-2</v>
      </c>
      <c r="M49" s="98"/>
      <c r="N49" s="98"/>
      <c r="O49" s="98"/>
      <c r="P49" s="98"/>
      <c r="Q49" s="98"/>
      <c r="R49" s="98"/>
      <c r="S49" s="98"/>
      <c r="T49" s="98"/>
    </row>
    <row r="50" spans="1:20" ht="15.6" x14ac:dyDescent="0.3">
      <c r="A50" s="97">
        <v>245</v>
      </c>
      <c r="B50" s="98"/>
      <c r="C50" s="98"/>
      <c r="D50" s="98"/>
      <c r="E50" s="98">
        <v>2.0510000000000002</v>
      </c>
      <c r="F50" s="98">
        <v>7.2999999999999995E-2</v>
      </c>
      <c r="G50" s="98">
        <v>1.125</v>
      </c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>
        <v>2E-3</v>
      </c>
      <c r="S50" s="98"/>
      <c r="T50" s="98"/>
    </row>
    <row r="51" spans="1:20" ht="15.6" x14ac:dyDescent="0.3">
      <c r="A51" s="97">
        <v>223</v>
      </c>
      <c r="B51" s="98"/>
      <c r="C51" s="98"/>
      <c r="D51" s="98"/>
      <c r="E51" s="98"/>
      <c r="F51" s="98"/>
      <c r="G51" s="98">
        <v>5.0330000000000004</v>
      </c>
      <c r="H51" s="98"/>
      <c r="I51" s="98"/>
      <c r="J51" s="98"/>
      <c r="K51" s="98"/>
      <c r="L51" s="98"/>
      <c r="M51" s="98">
        <v>4.4999999999999998E-2</v>
      </c>
      <c r="N51" s="98"/>
      <c r="O51" s="98"/>
      <c r="P51" s="98"/>
      <c r="Q51" s="98"/>
      <c r="R51" s="98"/>
      <c r="S51" s="98"/>
      <c r="T51" s="98"/>
    </row>
    <row r="52" spans="1:20" ht="15.6" x14ac:dyDescent="0.3">
      <c r="A52" s="97">
        <v>214</v>
      </c>
      <c r="B52" s="98"/>
      <c r="C52" s="98"/>
      <c r="D52" s="98"/>
      <c r="E52" s="98">
        <v>0.92700000000000005</v>
      </c>
      <c r="F52" s="98">
        <v>0.65</v>
      </c>
      <c r="G52" s="98"/>
      <c r="H52" s="98"/>
      <c r="I52" s="98"/>
      <c r="J52" s="98"/>
      <c r="K52" s="98"/>
      <c r="L52" s="98"/>
      <c r="M52" s="98"/>
      <c r="N52" s="98">
        <v>2.5000000000000001E-2</v>
      </c>
      <c r="O52" s="98"/>
      <c r="P52" s="98"/>
      <c r="Q52" s="98"/>
      <c r="R52" s="98"/>
      <c r="S52" s="98"/>
      <c r="T52" s="98"/>
    </row>
    <row r="53" spans="1:20" ht="15.6" x14ac:dyDescent="0.3">
      <c r="A53" s="97">
        <v>226</v>
      </c>
      <c r="B53" s="98"/>
      <c r="C53" s="98"/>
      <c r="D53" s="98"/>
      <c r="E53" s="98">
        <v>2.6749999999999998</v>
      </c>
      <c r="F53" s="98">
        <v>0.14000000000000001</v>
      </c>
      <c r="G53" s="98">
        <v>2.5000000000000001E-2</v>
      </c>
      <c r="H53" s="98"/>
      <c r="I53" s="98"/>
      <c r="J53" s="98"/>
      <c r="K53" s="98"/>
      <c r="L53" s="98"/>
      <c r="M53" s="98"/>
      <c r="N53" s="98">
        <v>0.02</v>
      </c>
      <c r="O53" s="98"/>
      <c r="P53" s="98"/>
      <c r="Q53" s="98"/>
      <c r="R53" s="98"/>
      <c r="S53" s="98"/>
      <c r="T53" s="98"/>
    </row>
    <row r="54" spans="1:20" ht="15.6" x14ac:dyDescent="0.3">
      <c r="A54" s="97">
        <v>252</v>
      </c>
      <c r="B54" s="98"/>
      <c r="C54" s="98"/>
      <c r="D54" s="98"/>
      <c r="E54" s="98">
        <v>0.8</v>
      </c>
      <c r="F54" s="98">
        <v>9.0999999999999998E-2</v>
      </c>
      <c r="G54" s="98">
        <v>0.72499999999999998</v>
      </c>
      <c r="H54" s="98"/>
      <c r="I54" s="98"/>
      <c r="J54" s="98"/>
      <c r="K54" s="98"/>
      <c r="L54" s="98"/>
      <c r="M54" s="98"/>
      <c r="N54" s="98">
        <v>5.2999999999999999E-2</v>
      </c>
      <c r="O54" s="98"/>
      <c r="P54" s="98"/>
      <c r="Q54" s="98"/>
      <c r="R54" s="98"/>
      <c r="S54" s="98"/>
      <c r="T54" s="98"/>
    </row>
    <row r="55" spans="1:20" ht="15.6" x14ac:dyDescent="0.3">
      <c r="A55" s="97" t="s">
        <v>68</v>
      </c>
      <c r="B55" s="98"/>
      <c r="C55" s="98"/>
      <c r="D55" s="98"/>
      <c r="E55" s="98"/>
      <c r="F55" s="98"/>
      <c r="G55" s="98">
        <v>1.6</v>
      </c>
      <c r="H55" s="98"/>
      <c r="I55" s="98"/>
      <c r="J55" s="98"/>
      <c r="K55" s="98"/>
      <c r="L55" s="98">
        <v>5.0000000000000001E-3</v>
      </c>
      <c r="M55" s="98"/>
      <c r="N55" s="98"/>
      <c r="O55" s="98"/>
      <c r="P55" s="98"/>
      <c r="Q55" s="98"/>
      <c r="R55" s="98"/>
      <c r="S55" s="98"/>
      <c r="T55" s="98"/>
    </row>
    <row r="56" spans="1:20" ht="15.6" x14ac:dyDescent="0.3">
      <c r="A56" s="97">
        <v>230</v>
      </c>
      <c r="B56" s="98">
        <v>3.1230000000000002</v>
      </c>
      <c r="C56" s="98"/>
      <c r="D56" s="98"/>
      <c r="E56" s="98"/>
      <c r="F56" s="98">
        <v>0.38</v>
      </c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</row>
    <row r="57" spans="1:20" ht="15.6" x14ac:dyDescent="0.3">
      <c r="A57" s="97">
        <v>248</v>
      </c>
      <c r="B57" s="98"/>
      <c r="C57" s="98">
        <v>1.1539999999999999</v>
      </c>
      <c r="D57" s="98"/>
      <c r="E57" s="98"/>
      <c r="F57" s="98">
        <v>4.4999999999999998E-2</v>
      </c>
      <c r="G57" s="98"/>
      <c r="H57" s="98"/>
      <c r="I57" s="98"/>
      <c r="J57" s="98"/>
      <c r="K57" s="98"/>
      <c r="L57" s="98"/>
      <c r="M57" s="98"/>
      <c r="N57" s="98">
        <v>2E-3</v>
      </c>
      <c r="O57" s="98"/>
      <c r="P57" s="98"/>
      <c r="Q57" s="98"/>
      <c r="R57" s="98">
        <v>7.0000000000000001E-3</v>
      </c>
      <c r="S57" s="98"/>
      <c r="T57" s="98"/>
    </row>
    <row r="58" spans="1:20" ht="15.6" x14ac:dyDescent="0.3">
      <c r="A58" s="97">
        <v>233</v>
      </c>
      <c r="B58" s="98"/>
      <c r="C58" s="98"/>
      <c r="D58" s="98"/>
      <c r="E58" s="98"/>
      <c r="F58" s="98">
        <v>0.2</v>
      </c>
      <c r="G58" s="98">
        <v>2.6269999999999998</v>
      </c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</row>
    <row r="59" spans="1:20" ht="15.6" x14ac:dyDescent="0.3">
      <c r="A59" s="97">
        <v>215</v>
      </c>
      <c r="B59" s="98"/>
      <c r="C59" s="98"/>
      <c r="D59" s="98"/>
      <c r="E59" s="98">
        <v>3.12</v>
      </c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>
        <v>0.02</v>
      </c>
    </row>
    <row r="60" spans="1:20" ht="15.6" x14ac:dyDescent="0.3">
      <c r="A60" s="97">
        <v>249</v>
      </c>
      <c r="B60" s="98"/>
      <c r="C60" s="98"/>
      <c r="D60" s="98"/>
      <c r="E60" s="98"/>
      <c r="F60" s="98">
        <v>8.4000000000000005E-2</v>
      </c>
      <c r="G60" s="98">
        <v>1.26</v>
      </c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</row>
    <row r="61" spans="1:20" ht="15.6" x14ac:dyDescent="0.3">
      <c r="A61" s="97" t="s">
        <v>70</v>
      </c>
      <c r="B61" s="98">
        <v>2.4</v>
      </c>
      <c r="C61" s="98"/>
      <c r="D61" s="98"/>
      <c r="E61" s="98"/>
      <c r="F61" s="98">
        <v>9.8000000000000004E-2</v>
      </c>
      <c r="G61" s="98"/>
      <c r="H61" s="98"/>
      <c r="I61" s="98"/>
      <c r="J61" s="98"/>
      <c r="K61" s="98"/>
      <c r="L61" s="98"/>
      <c r="M61" s="98">
        <v>1.7000000000000001E-2</v>
      </c>
      <c r="N61" s="98">
        <v>0.05</v>
      </c>
      <c r="O61" s="98"/>
      <c r="P61" s="98"/>
      <c r="Q61" s="98"/>
      <c r="R61" s="98">
        <v>2.3E-2</v>
      </c>
      <c r="S61" s="98"/>
      <c r="T61" s="98"/>
    </row>
    <row r="62" spans="1:20" ht="15.6" x14ac:dyDescent="0.3">
      <c r="A62" s="97" t="s">
        <v>72</v>
      </c>
      <c r="B62" s="98"/>
      <c r="C62" s="98"/>
      <c r="D62" s="98"/>
      <c r="E62" s="98"/>
      <c r="F62" s="98"/>
      <c r="G62" s="98"/>
      <c r="H62" s="98"/>
      <c r="I62" s="98"/>
      <c r="J62" s="98"/>
      <c r="K62" s="98">
        <v>4.0000000000000001E-3</v>
      </c>
      <c r="L62" s="98">
        <v>7.4999999999999997E-2</v>
      </c>
      <c r="M62" s="98"/>
      <c r="N62" s="98"/>
      <c r="O62" s="98"/>
      <c r="P62" s="98"/>
      <c r="Q62" s="98">
        <v>0.81</v>
      </c>
      <c r="R62" s="98">
        <v>8.9999999999999993E-3</v>
      </c>
      <c r="S62" s="98">
        <v>0.2</v>
      </c>
      <c r="T62" s="98"/>
    </row>
    <row r="63" spans="1:20" ht="15.6" x14ac:dyDescent="0.3">
      <c r="A63" s="97" t="s">
        <v>73</v>
      </c>
      <c r="B63" s="98">
        <v>2.2000000000000002</v>
      </c>
      <c r="C63" s="98"/>
      <c r="D63" s="98"/>
      <c r="E63" s="98"/>
      <c r="F63" s="98"/>
      <c r="G63" s="98">
        <v>1.02</v>
      </c>
      <c r="H63" s="98">
        <v>1</v>
      </c>
      <c r="I63" s="98"/>
      <c r="J63" s="98"/>
      <c r="K63" s="98"/>
      <c r="L63" s="98"/>
      <c r="M63" s="98">
        <v>5.1999999999999998E-2</v>
      </c>
      <c r="N63" s="98"/>
      <c r="O63" s="98"/>
      <c r="P63" s="98"/>
      <c r="Q63" s="98"/>
      <c r="R63" s="98">
        <v>5.0000000000000001E-3</v>
      </c>
      <c r="S63" s="98"/>
      <c r="T63" s="98"/>
    </row>
    <row r="64" spans="1:20" ht="15.6" x14ac:dyDescent="0.3">
      <c r="A64" s="97">
        <v>244</v>
      </c>
      <c r="B64" s="98"/>
      <c r="C64" s="98"/>
      <c r="D64" s="98"/>
      <c r="E64" s="98"/>
      <c r="F64" s="98"/>
      <c r="G64" s="98">
        <v>2.5070000000000001</v>
      </c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>
        <v>5.0000000000000001E-3</v>
      </c>
      <c r="S64" s="98"/>
      <c r="T64" s="98"/>
    </row>
    <row r="65" spans="1:20" ht="15.6" x14ac:dyDescent="0.3">
      <c r="A65" s="97" t="s">
        <v>74</v>
      </c>
      <c r="B65" s="98"/>
      <c r="C65" s="98">
        <v>1.63</v>
      </c>
      <c r="D65" s="98"/>
      <c r="E65" s="98"/>
      <c r="F65" s="98">
        <v>0.125</v>
      </c>
      <c r="G65" s="98"/>
      <c r="H65" s="98"/>
      <c r="I65" s="98"/>
      <c r="J65" s="98"/>
      <c r="K65" s="98"/>
      <c r="L65" s="98">
        <v>0.1</v>
      </c>
      <c r="M65" s="98"/>
      <c r="N65" s="98"/>
      <c r="O65" s="98"/>
      <c r="P65" s="98"/>
      <c r="Q65" s="98"/>
      <c r="R65" s="98">
        <v>1E-3</v>
      </c>
      <c r="S65" s="98"/>
      <c r="T65" s="98"/>
    </row>
    <row r="66" spans="1:20" ht="15.6" x14ac:dyDescent="0.3">
      <c r="A66" s="97" t="s">
        <v>75</v>
      </c>
      <c r="B66" s="98"/>
      <c r="C66" s="98"/>
      <c r="D66" s="98"/>
      <c r="E66" s="98"/>
      <c r="F66" s="98"/>
      <c r="G66" s="98">
        <v>1.5</v>
      </c>
      <c r="H66" s="98"/>
      <c r="I66" s="98"/>
      <c r="J66" s="98"/>
      <c r="K66" s="98"/>
      <c r="L66" s="98"/>
      <c r="M66" s="98">
        <v>5.0000000000000001E-3</v>
      </c>
      <c r="N66" s="98"/>
      <c r="O66" s="98"/>
      <c r="P66" s="98"/>
      <c r="Q66" s="98"/>
      <c r="R66" s="98"/>
      <c r="S66" s="98"/>
      <c r="T66" s="98"/>
    </row>
    <row r="67" spans="1:20" ht="15.6" x14ac:dyDescent="0.3">
      <c r="A67" s="97">
        <v>228</v>
      </c>
      <c r="B67" s="98"/>
      <c r="C67" s="98"/>
      <c r="D67" s="98"/>
      <c r="E67" s="98">
        <v>3.1</v>
      </c>
      <c r="F67" s="98">
        <v>8.5000000000000006E-2</v>
      </c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</row>
    <row r="68" spans="1:20" ht="15.6" x14ac:dyDescent="0.3">
      <c r="A68" s="97" t="s">
        <v>76</v>
      </c>
      <c r="B68" s="98"/>
      <c r="C68" s="98"/>
      <c r="D68" s="98"/>
      <c r="E68" s="98">
        <v>2.105</v>
      </c>
      <c r="F68" s="98">
        <v>0.39</v>
      </c>
      <c r="G68" s="98">
        <v>1.5249999999999999</v>
      </c>
      <c r="H68" s="98"/>
      <c r="I68" s="98"/>
      <c r="J68" s="98"/>
      <c r="K68" s="98"/>
      <c r="L68" s="98"/>
      <c r="M68" s="98">
        <v>3.5999999999999997E-2</v>
      </c>
      <c r="N68" s="98">
        <v>2.5000000000000001E-2</v>
      </c>
      <c r="O68" s="98"/>
      <c r="P68" s="98"/>
      <c r="Q68" s="98"/>
      <c r="R68" s="98">
        <v>5.0000000000000001E-3</v>
      </c>
      <c r="S68" s="98"/>
      <c r="T68" s="98"/>
    </row>
    <row r="69" spans="1:20" ht="15.6" x14ac:dyDescent="0.3">
      <c r="A69" s="97" t="s">
        <v>77</v>
      </c>
      <c r="B69" s="98"/>
      <c r="C69" s="98"/>
      <c r="D69" s="98"/>
      <c r="E69" s="98"/>
      <c r="F69" s="98"/>
      <c r="G69" s="98">
        <v>3.1219999999999999</v>
      </c>
      <c r="H69" s="98">
        <v>0.93</v>
      </c>
      <c r="I69" s="98"/>
      <c r="J69" s="98"/>
      <c r="K69" s="98"/>
      <c r="L69" s="98"/>
      <c r="M69" s="98"/>
      <c r="N69" s="98">
        <v>0.625</v>
      </c>
      <c r="O69" s="98"/>
      <c r="P69" s="98"/>
      <c r="Q69" s="98"/>
      <c r="R69" s="98"/>
      <c r="S69" s="98"/>
      <c r="T69" s="98"/>
    </row>
    <row r="70" spans="1:20" ht="15.6" x14ac:dyDescent="0.3">
      <c r="A70" s="97" t="s">
        <v>78</v>
      </c>
      <c r="B70" s="98"/>
      <c r="C70" s="98"/>
      <c r="D70" s="98"/>
      <c r="E70" s="98"/>
      <c r="F70" s="98"/>
      <c r="G70" s="98"/>
      <c r="H70" s="98">
        <v>3.35</v>
      </c>
      <c r="I70" s="98"/>
      <c r="J70" s="98"/>
      <c r="K70" s="98"/>
      <c r="L70" s="98"/>
      <c r="M70" s="98"/>
      <c r="N70" s="98">
        <v>2.5000000000000001E-2</v>
      </c>
      <c r="O70" s="98"/>
      <c r="P70" s="98"/>
      <c r="Q70" s="98"/>
      <c r="R70" s="98"/>
      <c r="S70" s="98"/>
      <c r="T70" s="98"/>
    </row>
    <row r="71" spans="1:20" ht="15.6" x14ac:dyDescent="0.3">
      <c r="A71" s="97">
        <v>217</v>
      </c>
      <c r="B71" s="98"/>
      <c r="C71" s="98"/>
      <c r="D71" s="98"/>
      <c r="E71" s="98"/>
      <c r="F71" s="98">
        <v>0.71599999999999997</v>
      </c>
      <c r="G71" s="98">
        <v>0.92500000000000004</v>
      </c>
      <c r="H71" s="98">
        <v>0.11</v>
      </c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</row>
    <row r="72" spans="1:20" ht="15.6" x14ac:dyDescent="0.3">
      <c r="A72" s="97" t="s">
        <v>80</v>
      </c>
      <c r="B72" s="98"/>
      <c r="C72" s="98">
        <v>2.1</v>
      </c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>
        <v>5.2999999999999999E-2</v>
      </c>
      <c r="O72" s="98"/>
      <c r="P72" s="98"/>
      <c r="Q72" s="98"/>
      <c r="R72" s="98"/>
      <c r="S72" s="98"/>
      <c r="T72" s="98"/>
    </row>
    <row r="73" spans="1:20" ht="15.6" x14ac:dyDescent="0.3">
      <c r="A73" s="97" t="s">
        <v>81</v>
      </c>
      <c r="B73" s="98"/>
      <c r="C73" s="98">
        <v>2.8</v>
      </c>
      <c r="D73" s="98"/>
      <c r="E73" s="98"/>
      <c r="F73" s="98">
        <v>0.22500000000000001</v>
      </c>
      <c r="G73" s="98"/>
      <c r="H73" s="98"/>
      <c r="I73" s="98">
        <v>5.0000000000000001E-3</v>
      </c>
      <c r="J73" s="98"/>
      <c r="K73" s="98"/>
      <c r="L73" s="98"/>
      <c r="M73" s="98"/>
      <c r="N73" s="98">
        <v>6.5000000000000002E-2</v>
      </c>
      <c r="O73" s="98"/>
      <c r="P73" s="98"/>
      <c r="Q73" s="98"/>
      <c r="R73" s="98">
        <v>5.0000000000000001E-3</v>
      </c>
      <c r="S73" s="98"/>
      <c r="T73" s="98"/>
    </row>
    <row r="74" spans="1:20" ht="15.6" x14ac:dyDescent="0.3">
      <c r="A74" s="97">
        <v>352</v>
      </c>
      <c r="B74" s="98"/>
      <c r="C74" s="98"/>
      <c r="D74" s="98">
        <v>1.367</v>
      </c>
      <c r="E74" s="98"/>
      <c r="F74" s="98"/>
      <c r="G74" s="98"/>
      <c r="H74" s="98"/>
      <c r="I74" s="98"/>
      <c r="J74" s="98"/>
      <c r="K74" s="98"/>
      <c r="L74" s="98"/>
      <c r="M74" s="98">
        <v>1.4999999999999999E-2</v>
      </c>
      <c r="N74" s="98">
        <v>1.7000000000000001E-2</v>
      </c>
      <c r="O74" s="98"/>
      <c r="P74" s="97">
        <v>5.0000000000000001E-4</v>
      </c>
      <c r="Q74" s="98"/>
      <c r="R74" s="98"/>
      <c r="S74" s="98"/>
      <c r="T74" s="98"/>
    </row>
    <row r="75" spans="1:20" ht="15.6" x14ac:dyDescent="0.3">
      <c r="A75" s="97">
        <v>332</v>
      </c>
      <c r="B75" s="98"/>
      <c r="C75" s="98"/>
      <c r="D75" s="98">
        <v>3.0920000000000001</v>
      </c>
      <c r="E75" s="98"/>
      <c r="F75" s="98"/>
      <c r="G75" s="98"/>
      <c r="H75" s="98"/>
      <c r="I75" s="98"/>
      <c r="J75" s="98"/>
      <c r="K75" s="98"/>
      <c r="L75" s="98">
        <v>1.2999999999999999E-2</v>
      </c>
      <c r="M75" s="98"/>
      <c r="N75" s="98"/>
      <c r="O75" s="98"/>
      <c r="P75" s="98"/>
      <c r="Q75" s="98"/>
      <c r="R75" s="98"/>
      <c r="S75" s="98"/>
      <c r="T75" s="98"/>
    </row>
    <row r="76" spans="1:20" ht="15.6" x14ac:dyDescent="0.3">
      <c r="A76" s="97">
        <v>339</v>
      </c>
      <c r="B76" s="98"/>
      <c r="C76" s="98"/>
      <c r="D76" s="98">
        <v>2.7410000000000001</v>
      </c>
      <c r="E76" s="98"/>
      <c r="F76" s="98">
        <v>0.125</v>
      </c>
      <c r="G76" s="98"/>
      <c r="H76" s="98"/>
      <c r="I76" s="98"/>
      <c r="J76" s="98"/>
      <c r="K76" s="98"/>
      <c r="L76" s="98">
        <v>7.4999999999999997E-2</v>
      </c>
      <c r="M76" s="98"/>
      <c r="N76" s="98"/>
      <c r="O76" s="98"/>
      <c r="P76" s="98"/>
      <c r="Q76" s="98"/>
      <c r="R76" s="98"/>
      <c r="S76" s="98"/>
      <c r="T76" s="98"/>
    </row>
    <row r="77" spans="1:20" ht="15.6" x14ac:dyDescent="0.3">
      <c r="A77" s="97">
        <v>347</v>
      </c>
      <c r="B77" s="97"/>
      <c r="C77" s="97"/>
      <c r="D77" s="97">
        <v>2.032</v>
      </c>
      <c r="E77" s="97"/>
      <c r="F77" s="97"/>
      <c r="G77" s="97"/>
      <c r="H77" s="97"/>
      <c r="I77" s="97"/>
      <c r="J77" s="97"/>
      <c r="K77" s="97"/>
      <c r="L77" s="97"/>
      <c r="M77" s="97">
        <v>9.7000000000000003E-2</v>
      </c>
      <c r="N77" s="97"/>
      <c r="O77" s="97"/>
      <c r="P77" s="97"/>
      <c r="Q77" s="97"/>
      <c r="R77" s="97"/>
      <c r="S77" s="97"/>
      <c r="T77" s="97"/>
    </row>
    <row r="78" spans="1:20" ht="15.6" x14ac:dyDescent="0.3">
      <c r="A78" s="97">
        <v>346</v>
      </c>
      <c r="B78" s="97"/>
      <c r="C78" s="97"/>
      <c r="D78" s="97">
        <v>2.0470000000000002</v>
      </c>
      <c r="E78" s="97"/>
      <c r="F78" s="97"/>
      <c r="G78" s="97"/>
      <c r="H78" s="97"/>
      <c r="I78" s="97"/>
      <c r="J78" s="97"/>
      <c r="K78" s="97"/>
      <c r="L78" s="97"/>
      <c r="M78" s="97"/>
      <c r="N78" s="97">
        <v>0.35299999999999998</v>
      </c>
      <c r="O78" s="97"/>
      <c r="P78" s="97"/>
      <c r="Q78" s="97"/>
      <c r="R78" s="97"/>
      <c r="S78" s="97"/>
      <c r="T78" s="97"/>
    </row>
    <row r="79" spans="1:20" ht="15.6" x14ac:dyDescent="0.3">
      <c r="A79" s="97">
        <v>353</v>
      </c>
      <c r="B79" s="97"/>
      <c r="C79" s="97"/>
      <c r="D79" s="97"/>
      <c r="E79" s="97">
        <v>3.355</v>
      </c>
      <c r="F79" s="97">
        <v>0.48499999999999999</v>
      </c>
      <c r="G79" s="97"/>
      <c r="H79" s="97"/>
      <c r="I79" s="97"/>
      <c r="J79" s="97"/>
      <c r="K79" s="97"/>
      <c r="L79" s="97">
        <v>0.433</v>
      </c>
      <c r="M79" s="97"/>
      <c r="N79" s="98"/>
      <c r="O79" s="97"/>
      <c r="P79" s="97"/>
      <c r="Q79" s="97"/>
      <c r="R79" s="97">
        <v>9.5000000000000001E-2</v>
      </c>
      <c r="S79" s="97"/>
      <c r="T79" s="9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214"/>
  <sheetViews>
    <sheetView showGridLines="0" zoomScale="64" zoomScaleNormal="90" workbookViewId="0">
      <pane ySplit="1" topLeftCell="A35" activePane="bottomLeft" state="frozen"/>
      <selection pane="bottomLeft" sqref="A1:T79"/>
    </sheetView>
  </sheetViews>
  <sheetFormatPr defaultColWidth="9.109375" defaultRowHeight="15.6" x14ac:dyDescent="0.3"/>
  <cols>
    <col min="1" max="1" width="17.88671875" style="77" customWidth="1"/>
    <col min="2" max="2" width="19.6640625" style="77" customWidth="1"/>
    <col min="3" max="3" width="17.109375" style="77" customWidth="1"/>
    <col min="4" max="4" width="16.44140625" style="77" customWidth="1"/>
    <col min="5" max="5" width="11.6640625" style="77" customWidth="1"/>
    <col min="6" max="6" width="8.33203125" style="77" customWidth="1"/>
    <col min="7" max="7" width="5.109375" style="77" customWidth="1"/>
    <col min="8" max="8" width="15.33203125" style="77" customWidth="1"/>
    <col min="9" max="9" width="2.6640625" style="77" customWidth="1"/>
    <col min="10" max="10" width="3.5546875" style="77" customWidth="1"/>
    <col min="11" max="11" width="5" style="77" customWidth="1"/>
    <col min="12" max="12" width="21.6640625" style="77" customWidth="1"/>
    <col min="13" max="13" width="23.88671875" style="77" customWidth="1"/>
    <col min="14" max="14" width="22.88671875" style="77" customWidth="1"/>
    <col min="15" max="15" width="21.33203125" style="77" customWidth="1"/>
    <col min="16" max="16" width="12.6640625" style="77" customWidth="1"/>
    <col min="17" max="17" width="12.33203125" style="77" customWidth="1"/>
    <col min="18" max="18" width="10.88671875" style="77" customWidth="1"/>
    <col min="19" max="19" width="8.44140625" style="77" customWidth="1"/>
    <col min="20" max="20" width="9.109375" style="77" customWidth="1"/>
    <col min="21" max="21" width="10.6640625" style="89" customWidth="1"/>
    <col min="22" max="22" width="11.33203125" style="77" customWidth="1"/>
    <col min="23" max="23" width="9.109375" style="77" customWidth="1"/>
    <col min="24" max="24" width="8.109375" style="77" customWidth="1"/>
    <col min="25" max="25" width="9" style="77" customWidth="1"/>
    <col min="26" max="26" width="11.5546875" style="77" customWidth="1"/>
    <col min="27" max="27" width="7.44140625" style="76" customWidth="1"/>
    <col min="28" max="28" width="8.33203125" style="76" customWidth="1"/>
    <col min="29" max="29" width="6.33203125" style="76" customWidth="1"/>
    <col min="30" max="30" width="8" style="76" customWidth="1"/>
    <col min="31" max="31" width="7.88671875" style="76" customWidth="1"/>
    <col min="32" max="32" width="7.6640625" style="76" customWidth="1"/>
    <col min="33" max="33" width="8.5546875" style="77" customWidth="1"/>
    <col min="34" max="34" width="7.5546875" style="76" customWidth="1"/>
    <col min="35" max="35" width="7.88671875" style="76" customWidth="1"/>
    <col min="36" max="36" width="7.109375" style="76" customWidth="1"/>
    <col min="37" max="37" width="8.109375" style="76" customWidth="1"/>
    <col min="38" max="38" width="9.109375" style="76"/>
    <col min="39" max="39" width="6.88671875" style="76" customWidth="1"/>
    <col min="40" max="40" width="7.33203125" style="76" customWidth="1"/>
    <col min="41" max="42" width="9.109375" style="76"/>
    <col min="43" max="43" width="17.33203125" style="76" customWidth="1"/>
    <col min="44" max="44" width="20.33203125" style="76" customWidth="1"/>
    <col min="45" max="45" width="9.109375" style="76"/>
    <col min="46" max="46" width="10.109375" style="77" customWidth="1"/>
    <col min="47" max="47" width="11" style="77" customWidth="1"/>
    <col min="48" max="48" width="10" style="77" customWidth="1"/>
    <col min="49" max="49" width="9.109375" style="76"/>
    <col min="50" max="50" width="12.44140625" style="77" customWidth="1"/>
    <col min="51" max="51" width="12.109375" style="77" customWidth="1"/>
    <col min="52" max="52" width="11.44140625" style="77" customWidth="1"/>
    <col min="53" max="16384" width="9.109375" style="76"/>
  </cols>
  <sheetData>
    <row r="1" spans="1:52" s="84" customFormat="1" x14ac:dyDescent="0.3">
      <c r="A1" s="55" t="s">
        <v>4</v>
      </c>
      <c r="B1" s="55" t="s">
        <v>6</v>
      </c>
      <c r="C1" s="55" t="s">
        <v>8</v>
      </c>
      <c r="D1" s="55" t="s">
        <v>10</v>
      </c>
      <c r="E1" s="55" t="s">
        <v>12</v>
      </c>
      <c r="F1" s="55" t="s">
        <v>14</v>
      </c>
      <c r="G1" s="55" t="s">
        <v>16</v>
      </c>
      <c r="H1" s="55" t="s">
        <v>18</v>
      </c>
      <c r="I1" s="55" t="s">
        <v>20</v>
      </c>
      <c r="J1" s="55" t="s">
        <v>22</v>
      </c>
      <c r="K1" s="55" t="s">
        <v>24</v>
      </c>
      <c r="L1" s="55" t="s">
        <v>26</v>
      </c>
      <c r="M1" s="55" t="s">
        <v>28</v>
      </c>
      <c r="N1" s="55" t="s">
        <v>30</v>
      </c>
      <c r="O1" s="55" t="s">
        <v>32</v>
      </c>
      <c r="P1" s="55" t="s">
        <v>34</v>
      </c>
      <c r="Q1" s="55" t="s">
        <v>36</v>
      </c>
      <c r="R1" s="55" t="s">
        <v>38</v>
      </c>
      <c r="S1" s="55" t="s">
        <v>40</v>
      </c>
      <c r="T1" s="55" t="s">
        <v>42</v>
      </c>
      <c r="U1" s="53" t="s">
        <v>83</v>
      </c>
      <c r="V1" s="55" t="s">
        <v>5</v>
      </c>
      <c r="W1" s="55" t="s">
        <v>7</v>
      </c>
      <c r="X1" s="55" t="s">
        <v>9</v>
      </c>
      <c r="Y1" s="55" t="s">
        <v>11</v>
      </c>
      <c r="Z1" s="55" t="s">
        <v>13</v>
      </c>
      <c r="AA1" s="55" t="s">
        <v>15</v>
      </c>
      <c r="AB1" s="55" t="s">
        <v>17</v>
      </c>
      <c r="AC1" s="55" t="s">
        <v>19</v>
      </c>
      <c r="AD1" s="55" t="s">
        <v>21</v>
      </c>
      <c r="AE1" s="55" t="s">
        <v>23</v>
      </c>
      <c r="AF1" s="55" t="s">
        <v>25</v>
      </c>
      <c r="AG1" s="55" t="s">
        <v>27</v>
      </c>
      <c r="AH1" s="55" t="s">
        <v>29</v>
      </c>
      <c r="AI1" s="55" t="s">
        <v>31</v>
      </c>
      <c r="AJ1" s="55" t="s">
        <v>33</v>
      </c>
      <c r="AK1" s="55" t="s">
        <v>35</v>
      </c>
      <c r="AL1" s="55" t="s">
        <v>37</v>
      </c>
      <c r="AM1" s="55" t="s">
        <v>39</v>
      </c>
      <c r="AN1" s="55" t="s">
        <v>41</v>
      </c>
      <c r="AO1" s="53" t="s">
        <v>83</v>
      </c>
      <c r="AP1" s="83"/>
      <c r="AT1" s="83"/>
      <c r="AU1" s="83"/>
      <c r="AV1" s="83"/>
      <c r="AX1" s="83"/>
      <c r="AY1" s="83"/>
      <c r="AZ1" s="83"/>
    </row>
    <row r="2" spans="1:52" ht="18.600000000000001" x14ac:dyDescent="0.3">
      <c r="A2" s="72">
        <v>3</v>
      </c>
      <c r="B2" s="72"/>
      <c r="C2" s="72">
        <v>1</v>
      </c>
      <c r="D2" s="72"/>
      <c r="E2" s="72"/>
      <c r="F2" s="72"/>
      <c r="G2" s="72"/>
      <c r="H2" s="72"/>
      <c r="I2" s="72"/>
      <c r="J2" s="72"/>
      <c r="K2" s="72"/>
      <c r="L2" s="72">
        <v>1</v>
      </c>
      <c r="M2" s="72"/>
      <c r="N2" s="72"/>
      <c r="O2" s="72"/>
      <c r="P2" s="72"/>
      <c r="Q2" s="72"/>
      <c r="R2" s="72">
        <v>1</v>
      </c>
      <c r="S2" s="72"/>
      <c r="T2" s="72"/>
      <c r="U2" s="72">
        <f>SUM(B2:T2)</f>
        <v>3</v>
      </c>
      <c r="V2" s="72"/>
      <c r="W2" s="72">
        <v>33.33</v>
      </c>
      <c r="X2" s="72"/>
      <c r="Y2" s="72"/>
      <c r="Z2" s="72"/>
      <c r="AA2" s="78"/>
      <c r="AB2" s="78"/>
      <c r="AC2" s="78"/>
      <c r="AD2" s="78"/>
      <c r="AE2" s="78"/>
      <c r="AF2" s="78">
        <v>33.33</v>
      </c>
      <c r="AG2" s="72"/>
      <c r="AH2" s="78"/>
      <c r="AI2" s="78"/>
      <c r="AJ2" s="78"/>
      <c r="AK2" s="78"/>
      <c r="AL2" s="78">
        <v>33.33</v>
      </c>
      <c r="AM2" s="78"/>
      <c r="AN2" s="78"/>
      <c r="AO2" s="78">
        <f t="shared" ref="AO2:AO33" si="0">SUM(V2:AN2)</f>
        <v>99.99</v>
      </c>
      <c r="AQ2" s="131" t="s">
        <v>88</v>
      </c>
      <c r="AR2" s="131"/>
      <c r="AX2" s="75"/>
      <c r="AY2" s="75"/>
      <c r="AZ2" s="75"/>
    </row>
    <row r="3" spans="1:52" x14ac:dyDescent="0.3">
      <c r="A3" s="72" t="s">
        <v>52</v>
      </c>
      <c r="B3" s="72"/>
      <c r="C3" s="72"/>
      <c r="D3" s="72"/>
      <c r="E3" s="72"/>
      <c r="F3" s="72">
        <v>2</v>
      </c>
      <c r="G3" s="72"/>
      <c r="H3" s="72"/>
      <c r="I3" s="72"/>
      <c r="J3" s="72"/>
      <c r="K3" s="72"/>
      <c r="L3" s="72"/>
      <c r="M3" s="72"/>
      <c r="N3" s="72"/>
      <c r="O3" s="72"/>
      <c r="P3" s="72">
        <v>1</v>
      </c>
      <c r="Q3" s="72"/>
      <c r="R3" s="72"/>
      <c r="S3" s="72"/>
      <c r="T3" s="72"/>
      <c r="U3" s="72">
        <f t="shared" ref="U3:U66" si="1">SUM(B3:T3)</f>
        <v>3</v>
      </c>
      <c r="V3" s="72"/>
      <c r="W3" s="72"/>
      <c r="X3" s="72"/>
      <c r="Y3" s="72"/>
      <c r="Z3" s="72">
        <v>66.67</v>
      </c>
      <c r="AA3" s="78"/>
      <c r="AB3" s="78"/>
      <c r="AC3" s="78"/>
      <c r="AD3" s="78"/>
      <c r="AE3" s="78"/>
      <c r="AF3" s="78"/>
      <c r="AG3" s="72"/>
      <c r="AH3" s="78"/>
      <c r="AI3" s="78"/>
      <c r="AJ3" s="78">
        <v>33.33</v>
      </c>
      <c r="AK3" s="78"/>
      <c r="AL3" s="78"/>
      <c r="AM3" s="78"/>
      <c r="AN3" s="78"/>
      <c r="AO3" s="78">
        <f t="shared" si="0"/>
        <v>100</v>
      </c>
      <c r="AQ3" s="86" t="s">
        <v>85</v>
      </c>
      <c r="AR3" s="86" t="s">
        <v>86</v>
      </c>
      <c r="AX3" s="75"/>
      <c r="AY3" s="75"/>
      <c r="AZ3" s="75"/>
    </row>
    <row r="4" spans="1:52" x14ac:dyDescent="0.3">
      <c r="A4" s="72" t="s">
        <v>54</v>
      </c>
      <c r="B4" s="72"/>
      <c r="C4" s="72"/>
      <c r="D4" s="72">
        <v>1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>
        <v>3</v>
      </c>
      <c r="S4" s="72"/>
      <c r="T4" s="72"/>
      <c r="U4" s="72">
        <f t="shared" si="1"/>
        <v>4</v>
      </c>
      <c r="V4" s="72"/>
      <c r="W4" s="72"/>
      <c r="X4" s="72">
        <v>25</v>
      </c>
      <c r="Y4" s="72"/>
      <c r="Z4" s="72"/>
      <c r="AA4" s="78"/>
      <c r="AB4" s="78"/>
      <c r="AC4" s="78"/>
      <c r="AD4" s="78"/>
      <c r="AE4" s="78"/>
      <c r="AF4" s="78"/>
      <c r="AG4" s="72"/>
      <c r="AH4" s="78"/>
      <c r="AI4" s="78"/>
      <c r="AJ4" s="78"/>
      <c r="AK4" s="78"/>
      <c r="AL4" s="78">
        <v>75</v>
      </c>
      <c r="AM4" s="78"/>
      <c r="AN4" s="78"/>
      <c r="AO4" s="78">
        <f t="shared" si="0"/>
        <v>100</v>
      </c>
      <c r="AQ4" s="72" t="s">
        <v>5</v>
      </c>
      <c r="AR4" s="90">
        <v>22.77</v>
      </c>
      <c r="AS4" s="85"/>
      <c r="AT4" s="85"/>
      <c r="AX4" s="75"/>
      <c r="AY4" s="75"/>
      <c r="AZ4" s="75"/>
    </row>
    <row r="5" spans="1:52" x14ac:dyDescent="0.3">
      <c r="A5" s="72">
        <v>142</v>
      </c>
      <c r="B5" s="72"/>
      <c r="C5" s="72"/>
      <c r="D5" s="72"/>
      <c r="E5" s="72"/>
      <c r="F5" s="72">
        <v>2</v>
      </c>
      <c r="G5" s="72">
        <v>1</v>
      </c>
      <c r="H5" s="72"/>
      <c r="I5" s="72"/>
      <c r="J5" s="72"/>
      <c r="K5" s="72"/>
      <c r="L5" s="72"/>
      <c r="M5" s="72">
        <v>4</v>
      </c>
      <c r="N5" s="72"/>
      <c r="O5" s="72"/>
      <c r="P5" s="72"/>
      <c r="Q5" s="72"/>
      <c r="R5" s="72"/>
      <c r="S5" s="72"/>
      <c r="T5" s="72"/>
      <c r="U5" s="72">
        <f t="shared" si="1"/>
        <v>7</v>
      </c>
      <c r="V5" s="72"/>
      <c r="W5" s="72"/>
      <c r="X5" s="72"/>
      <c r="Y5" s="72"/>
      <c r="Z5" s="72">
        <v>28.57</v>
      </c>
      <c r="AA5" s="78">
        <v>14.28</v>
      </c>
      <c r="AB5" s="78"/>
      <c r="AC5" s="78"/>
      <c r="AD5" s="78"/>
      <c r="AE5" s="78"/>
      <c r="AF5" s="78"/>
      <c r="AG5" s="72">
        <v>57.15</v>
      </c>
      <c r="AH5" s="78"/>
      <c r="AI5" s="78"/>
      <c r="AJ5" s="78"/>
      <c r="AK5" s="78"/>
      <c r="AL5" s="78"/>
      <c r="AM5" s="78"/>
      <c r="AN5" s="78"/>
      <c r="AO5" s="78">
        <f t="shared" si="0"/>
        <v>100</v>
      </c>
      <c r="AQ5" s="72" t="s">
        <v>7</v>
      </c>
      <c r="AR5" s="90">
        <v>29.847272727272728</v>
      </c>
      <c r="AS5" s="85"/>
      <c r="AT5" s="85"/>
      <c r="AX5" s="75"/>
      <c r="AY5" s="75"/>
      <c r="AZ5" s="75"/>
    </row>
    <row r="6" spans="1:52" x14ac:dyDescent="0.3">
      <c r="A6" s="72">
        <v>2</v>
      </c>
      <c r="B6" s="72"/>
      <c r="C6" s="72"/>
      <c r="D6" s="72">
        <v>1</v>
      </c>
      <c r="E6" s="72"/>
      <c r="F6" s="72">
        <v>1</v>
      </c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>
        <v>1</v>
      </c>
      <c r="S6" s="72"/>
      <c r="T6" s="72"/>
      <c r="U6" s="72">
        <f t="shared" si="1"/>
        <v>3</v>
      </c>
      <c r="V6" s="72"/>
      <c r="W6" s="72"/>
      <c r="X6" s="72">
        <v>33.33</v>
      </c>
      <c r="Y6" s="72"/>
      <c r="Z6" s="72">
        <v>33.33</v>
      </c>
      <c r="AA6" s="78"/>
      <c r="AB6" s="78"/>
      <c r="AC6" s="78"/>
      <c r="AD6" s="78"/>
      <c r="AE6" s="78"/>
      <c r="AF6" s="78"/>
      <c r="AG6" s="72"/>
      <c r="AH6" s="78"/>
      <c r="AI6" s="78"/>
      <c r="AJ6" s="78"/>
      <c r="AK6" s="78"/>
      <c r="AL6" s="78">
        <v>33.33</v>
      </c>
      <c r="AM6" s="78"/>
      <c r="AN6" s="78"/>
      <c r="AO6" s="78">
        <f t="shared" si="0"/>
        <v>99.99</v>
      </c>
      <c r="AQ6" s="72" t="s">
        <v>9</v>
      </c>
      <c r="AR6" s="90">
        <v>27.874285714285712</v>
      </c>
      <c r="AS6" s="85"/>
      <c r="AT6" s="85"/>
      <c r="AX6" s="75"/>
      <c r="AY6" s="75"/>
      <c r="AZ6" s="75"/>
    </row>
    <row r="7" spans="1:52" x14ac:dyDescent="0.3">
      <c r="A7" s="72" t="s">
        <v>58</v>
      </c>
      <c r="B7" s="72"/>
      <c r="C7" s="72"/>
      <c r="D7" s="72"/>
      <c r="E7" s="72"/>
      <c r="F7" s="72">
        <v>1</v>
      </c>
      <c r="G7" s="72"/>
      <c r="H7" s="72"/>
      <c r="I7" s="72"/>
      <c r="J7" s="72"/>
      <c r="K7" s="72"/>
      <c r="L7" s="72">
        <v>1</v>
      </c>
      <c r="M7" s="72"/>
      <c r="N7" s="72"/>
      <c r="O7" s="72"/>
      <c r="P7" s="72"/>
      <c r="Q7" s="72"/>
      <c r="R7" s="72"/>
      <c r="S7" s="72"/>
      <c r="T7" s="72"/>
      <c r="U7" s="72">
        <f t="shared" si="1"/>
        <v>2</v>
      </c>
      <c r="V7" s="72"/>
      <c r="W7" s="72"/>
      <c r="X7" s="72"/>
      <c r="Y7" s="72"/>
      <c r="Z7" s="72">
        <v>50</v>
      </c>
      <c r="AA7" s="78"/>
      <c r="AB7" s="78"/>
      <c r="AC7" s="78"/>
      <c r="AD7" s="78"/>
      <c r="AE7" s="78"/>
      <c r="AF7" s="78">
        <v>50</v>
      </c>
      <c r="AG7" s="72"/>
      <c r="AH7" s="78"/>
      <c r="AI7" s="78"/>
      <c r="AJ7" s="78"/>
      <c r="AK7" s="78"/>
      <c r="AL7" s="78"/>
      <c r="AM7" s="78"/>
      <c r="AN7" s="78"/>
      <c r="AO7" s="78">
        <f t="shared" si="0"/>
        <v>100</v>
      </c>
      <c r="AQ7" s="72" t="s">
        <v>11</v>
      </c>
      <c r="AR7" s="90">
        <v>25.709999999999997</v>
      </c>
      <c r="AS7" s="85"/>
      <c r="AT7" s="85"/>
      <c r="AX7" s="75"/>
      <c r="AY7" s="75"/>
      <c r="AZ7" s="75"/>
    </row>
    <row r="8" spans="1:52" x14ac:dyDescent="0.3">
      <c r="A8" s="72">
        <v>161</v>
      </c>
      <c r="B8" s="72"/>
      <c r="C8" s="72">
        <v>1</v>
      </c>
      <c r="D8" s="72"/>
      <c r="E8" s="72"/>
      <c r="F8" s="72">
        <v>1</v>
      </c>
      <c r="G8" s="72"/>
      <c r="H8" s="72"/>
      <c r="I8" s="72"/>
      <c r="J8" s="72"/>
      <c r="K8" s="72"/>
      <c r="L8" s="72">
        <v>1</v>
      </c>
      <c r="M8" s="72"/>
      <c r="N8" s="72"/>
      <c r="O8" s="72"/>
      <c r="P8" s="72"/>
      <c r="Q8" s="72"/>
      <c r="R8" s="72"/>
      <c r="S8" s="72"/>
      <c r="T8" s="72"/>
      <c r="U8" s="72">
        <f t="shared" si="1"/>
        <v>3</v>
      </c>
      <c r="V8" s="72"/>
      <c r="W8" s="72">
        <v>33.33</v>
      </c>
      <c r="X8" s="72"/>
      <c r="Y8" s="72"/>
      <c r="Z8" s="72">
        <v>33.33</v>
      </c>
      <c r="AA8" s="78"/>
      <c r="AB8" s="78"/>
      <c r="AC8" s="78"/>
      <c r="AD8" s="78"/>
      <c r="AE8" s="78"/>
      <c r="AF8" s="78">
        <v>33.33</v>
      </c>
      <c r="AG8" s="72"/>
      <c r="AH8" s="78"/>
      <c r="AI8" s="78"/>
      <c r="AJ8" s="78"/>
      <c r="AK8" s="78"/>
      <c r="AL8" s="78"/>
      <c r="AM8" s="78"/>
      <c r="AN8" s="78"/>
      <c r="AO8" s="78">
        <f t="shared" si="0"/>
        <v>99.99</v>
      </c>
      <c r="AQ8" s="72" t="s">
        <v>13</v>
      </c>
      <c r="AR8" s="90">
        <v>29.886875000000003</v>
      </c>
      <c r="AS8" s="85"/>
      <c r="AT8" s="85"/>
      <c r="AX8" s="75"/>
      <c r="AY8" s="75"/>
      <c r="AZ8" s="75"/>
    </row>
    <row r="9" spans="1:52" x14ac:dyDescent="0.3">
      <c r="A9" s="72">
        <v>172</v>
      </c>
      <c r="B9" s="72">
        <v>1</v>
      </c>
      <c r="C9" s="72"/>
      <c r="D9" s="72"/>
      <c r="E9" s="72"/>
      <c r="F9" s="72">
        <v>1</v>
      </c>
      <c r="G9" s="72"/>
      <c r="H9" s="72">
        <v>1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>
        <f t="shared" si="1"/>
        <v>3</v>
      </c>
      <c r="V9" s="72">
        <v>33.33</v>
      </c>
      <c r="W9" s="72"/>
      <c r="X9" s="72"/>
      <c r="Y9" s="72"/>
      <c r="Z9" s="72">
        <v>33.33</v>
      </c>
      <c r="AA9" s="78"/>
      <c r="AB9" s="78">
        <v>33.33</v>
      </c>
      <c r="AC9" s="78"/>
      <c r="AD9" s="78"/>
      <c r="AE9" s="78"/>
      <c r="AF9" s="78"/>
      <c r="AG9" s="72"/>
      <c r="AH9" s="78"/>
      <c r="AI9" s="78"/>
      <c r="AJ9" s="78"/>
      <c r="AK9" s="78"/>
      <c r="AL9" s="78"/>
      <c r="AM9" s="78"/>
      <c r="AN9" s="78"/>
      <c r="AO9" s="78">
        <f t="shared" si="0"/>
        <v>99.99</v>
      </c>
      <c r="AQ9" s="72" t="s">
        <v>15</v>
      </c>
      <c r="AR9" s="90">
        <v>29.582857142857147</v>
      </c>
      <c r="AS9" s="85"/>
      <c r="AT9" s="85"/>
      <c r="AX9" s="75"/>
      <c r="AY9" s="75"/>
      <c r="AZ9" s="75"/>
    </row>
    <row r="10" spans="1:52" x14ac:dyDescent="0.3">
      <c r="A10" s="72">
        <v>169</v>
      </c>
      <c r="B10" s="72"/>
      <c r="C10" s="72"/>
      <c r="D10" s="72"/>
      <c r="E10" s="72"/>
      <c r="F10" s="72">
        <v>3</v>
      </c>
      <c r="G10" s="72"/>
      <c r="H10" s="72"/>
      <c r="I10" s="72"/>
      <c r="J10" s="72"/>
      <c r="K10" s="72"/>
      <c r="L10" s="72"/>
      <c r="M10" s="72">
        <v>4</v>
      </c>
      <c r="N10" s="72"/>
      <c r="O10" s="72"/>
      <c r="P10" s="72">
        <v>1</v>
      </c>
      <c r="Q10" s="72"/>
      <c r="R10" s="72"/>
      <c r="S10" s="72"/>
      <c r="T10" s="72"/>
      <c r="U10" s="72">
        <f t="shared" si="1"/>
        <v>8</v>
      </c>
      <c r="V10" s="72"/>
      <c r="W10" s="72"/>
      <c r="X10" s="72"/>
      <c r="Y10" s="72"/>
      <c r="Z10" s="72">
        <v>37.5</v>
      </c>
      <c r="AA10" s="78"/>
      <c r="AB10" s="78"/>
      <c r="AC10" s="78"/>
      <c r="AD10" s="78"/>
      <c r="AE10" s="78"/>
      <c r="AF10" s="78"/>
      <c r="AG10" s="72">
        <v>50</v>
      </c>
      <c r="AH10" s="78"/>
      <c r="AI10" s="78"/>
      <c r="AJ10" s="78">
        <v>12.5</v>
      </c>
      <c r="AK10" s="78"/>
      <c r="AL10" s="78"/>
      <c r="AM10" s="78"/>
      <c r="AN10" s="78"/>
      <c r="AO10" s="78">
        <f t="shared" si="0"/>
        <v>100</v>
      </c>
      <c r="AQ10" s="72" t="s">
        <v>17</v>
      </c>
      <c r="AR10" s="90">
        <v>26.511428571428571</v>
      </c>
      <c r="AS10" s="85"/>
      <c r="AT10" s="85"/>
      <c r="AX10" s="75"/>
      <c r="AY10" s="75"/>
      <c r="AZ10" s="75"/>
    </row>
    <row r="11" spans="1:52" x14ac:dyDescent="0.3">
      <c r="A11" s="72" t="s">
        <v>60</v>
      </c>
      <c r="B11" s="72"/>
      <c r="C11" s="72"/>
      <c r="D11" s="72"/>
      <c r="E11" s="72"/>
      <c r="F11" s="72">
        <v>1</v>
      </c>
      <c r="G11" s="72">
        <v>1</v>
      </c>
      <c r="H11" s="72"/>
      <c r="I11" s="72"/>
      <c r="J11" s="72"/>
      <c r="K11" s="72"/>
      <c r="L11" s="72">
        <v>1</v>
      </c>
      <c r="M11" s="72"/>
      <c r="N11" s="72"/>
      <c r="O11" s="72"/>
      <c r="P11" s="72"/>
      <c r="Q11" s="72"/>
      <c r="R11" s="72"/>
      <c r="S11" s="72"/>
      <c r="T11" s="72"/>
      <c r="U11" s="72">
        <f t="shared" si="1"/>
        <v>3</v>
      </c>
      <c r="V11" s="72"/>
      <c r="W11" s="72"/>
      <c r="X11" s="72"/>
      <c r="Y11" s="72"/>
      <c r="Z11" s="72">
        <v>33.33</v>
      </c>
      <c r="AA11" s="78">
        <v>33.33</v>
      </c>
      <c r="AB11" s="78"/>
      <c r="AC11" s="78"/>
      <c r="AD11" s="78"/>
      <c r="AE11" s="78"/>
      <c r="AF11" s="78">
        <v>33.33</v>
      </c>
      <c r="AG11" s="72"/>
      <c r="AH11" s="78"/>
      <c r="AI11" s="78"/>
      <c r="AJ11" s="78"/>
      <c r="AK11" s="78"/>
      <c r="AL11" s="78"/>
      <c r="AM11" s="78"/>
      <c r="AN11" s="78"/>
      <c r="AO11" s="78">
        <f t="shared" si="0"/>
        <v>99.99</v>
      </c>
      <c r="AQ11" s="72" t="s">
        <v>19</v>
      </c>
      <c r="AR11" s="90">
        <v>44.446666666666665</v>
      </c>
      <c r="AS11" s="85"/>
      <c r="AT11" s="85"/>
      <c r="AX11" s="75"/>
      <c r="AY11" s="75"/>
      <c r="AZ11" s="75"/>
    </row>
    <row r="12" spans="1:52" x14ac:dyDescent="0.3">
      <c r="A12" s="72">
        <v>173</v>
      </c>
      <c r="B12" s="72"/>
      <c r="C12" s="72"/>
      <c r="D12" s="72"/>
      <c r="E12" s="72"/>
      <c r="F12" s="72"/>
      <c r="G12" s="72">
        <v>1</v>
      </c>
      <c r="H12" s="72"/>
      <c r="I12" s="72"/>
      <c r="J12" s="72"/>
      <c r="K12" s="72"/>
      <c r="L12" s="72">
        <v>1</v>
      </c>
      <c r="M12" s="72"/>
      <c r="N12" s="72"/>
      <c r="O12" s="72"/>
      <c r="P12" s="72"/>
      <c r="Q12" s="72"/>
      <c r="R12" s="72"/>
      <c r="S12" s="72"/>
      <c r="T12" s="72"/>
      <c r="U12" s="72">
        <f t="shared" si="1"/>
        <v>2</v>
      </c>
      <c r="V12" s="72"/>
      <c r="W12" s="72"/>
      <c r="X12" s="72"/>
      <c r="Y12" s="72"/>
      <c r="Z12" s="72"/>
      <c r="AA12" s="78">
        <v>50</v>
      </c>
      <c r="AB12" s="78"/>
      <c r="AC12" s="78"/>
      <c r="AD12" s="78"/>
      <c r="AE12" s="78"/>
      <c r="AF12" s="78">
        <v>50</v>
      </c>
      <c r="AG12" s="72"/>
      <c r="AH12" s="78"/>
      <c r="AI12" s="78"/>
      <c r="AJ12" s="78"/>
      <c r="AK12" s="78"/>
      <c r="AL12" s="78"/>
      <c r="AM12" s="78"/>
      <c r="AN12" s="78"/>
      <c r="AO12" s="78">
        <f t="shared" si="0"/>
        <v>100</v>
      </c>
      <c r="AQ12" s="72" t="s">
        <v>21</v>
      </c>
      <c r="AR12" s="90">
        <v>12.5</v>
      </c>
      <c r="AS12" s="85"/>
      <c r="AT12" s="85"/>
      <c r="AX12" s="75"/>
      <c r="AY12" s="75"/>
      <c r="AZ12" s="75"/>
    </row>
    <row r="13" spans="1:52" x14ac:dyDescent="0.3">
      <c r="A13" s="72">
        <v>251</v>
      </c>
      <c r="B13" s="72"/>
      <c r="C13" s="72"/>
      <c r="D13" s="72">
        <v>1</v>
      </c>
      <c r="E13" s="72">
        <v>1</v>
      </c>
      <c r="F13" s="72">
        <v>1</v>
      </c>
      <c r="G13" s="72"/>
      <c r="H13" s="72"/>
      <c r="I13" s="72"/>
      <c r="J13" s="72">
        <v>1</v>
      </c>
      <c r="K13" s="72"/>
      <c r="L13" s="72"/>
      <c r="M13" s="72"/>
      <c r="N13" s="72">
        <v>1</v>
      </c>
      <c r="O13" s="72"/>
      <c r="P13" s="72"/>
      <c r="Q13" s="72"/>
      <c r="R13" s="72">
        <v>3</v>
      </c>
      <c r="S13" s="72"/>
      <c r="T13" s="72"/>
      <c r="U13" s="72">
        <f t="shared" si="1"/>
        <v>8</v>
      </c>
      <c r="V13" s="72"/>
      <c r="W13" s="72"/>
      <c r="X13" s="72">
        <v>12.5</v>
      </c>
      <c r="Y13" s="72">
        <v>12.5</v>
      </c>
      <c r="Z13" s="72">
        <v>12.5</v>
      </c>
      <c r="AA13" s="78"/>
      <c r="AB13" s="78"/>
      <c r="AC13" s="78"/>
      <c r="AD13" s="78">
        <v>12.5</v>
      </c>
      <c r="AE13" s="78"/>
      <c r="AF13" s="78"/>
      <c r="AG13" s="72"/>
      <c r="AH13" s="78">
        <v>12.5</v>
      </c>
      <c r="AI13" s="78"/>
      <c r="AJ13" s="78"/>
      <c r="AK13" s="78"/>
      <c r="AL13" s="78">
        <v>37.5</v>
      </c>
      <c r="AM13" s="78"/>
      <c r="AN13" s="78"/>
      <c r="AO13" s="78">
        <f t="shared" si="0"/>
        <v>100</v>
      </c>
      <c r="AQ13" s="72" t="s">
        <v>23</v>
      </c>
      <c r="AR13" s="90">
        <v>28.703333333333333</v>
      </c>
      <c r="AS13" s="85"/>
      <c r="AT13" s="85"/>
      <c r="AX13" s="75"/>
      <c r="AY13" s="75"/>
      <c r="AZ13" s="75"/>
    </row>
    <row r="14" spans="1:52" x14ac:dyDescent="0.3">
      <c r="A14" s="72">
        <v>4</v>
      </c>
      <c r="B14" s="72"/>
      <c r="C14" s="72"/>
      <c r="D14" s="72">
        <v>1</v>
      </c>
      <c r="E14" s="72">
        <v>1</v>
      </c>
      <c r="F14" s="72"/>
      <c r="G14" s="72">
        <v>1</v>
      </c>
      <c r="H14" s="72"/>
      <c r="I14" s="72"/>
      <c r="J14" s="72"/>
      <c r="K14" s="72">
        <v>4</v>
      </c>
      <c r="L14" s="72"/>
      <c r="M14" s="72"/>
      <c r="N14" s="72">
        <v>1</v>
      </c>
      <c r="O14" s="72"/>
      <c r="P14" s="72"/>
      <c r="Q14" s="72"/>
      <c r="R14" s="72"/>
      <c r="S14" s="72"/>
      <c r="T14" s="72"/>
      <c r="U14" s="72">
        <f t="shared" si="1"/>
        <v>8</v>
      </c>
      <c r="V14" s="72"/>
      <c r="W14" s="72"/>
      <c r="X14" s="72">
        <v>12.5</v>
      </c>
      <c r="Y14" s="72">
        <v>12.5</v>
      </c>
      <c r="Z14" s="72"/>
      <c r="AA14" s="78">
        <v>12.5</v>
      </c>
      <c r="AB14" s="78"/>
      <c r="AC14" s="78"/>
      <c r="AD14" s="78"/>
      <c r="AE14" s="78">
        <v>50</v>
      </c>
      <c r="AF14" s="78"/>
      <c r="AG14" s="72"/>
      <c r="AH14" s="78">
        <v>12.5</v>
      </c>
      <c r="AI14" s="78"/>
      <c r="AJ14" s="78"/>
      <c r="AK14" s="78"/>
      <c r="AL14" s="78"/>
      <c r="AM14" s="78"/>
      <c r="AN14" s="78"/>
      <c r="AO14" s="78">
        <f t="shared" si="0"/>
        <v>100</v>
      </c>
      <c r="AQ14" s="72" t="s">
        <v>25</v>
      </c>
      <c r="AR14" s="90">
        <v>31.262999999999998</v>
      </c>
      <c r="AS14" s="85"/>
      <c r="AT14" s="85"/>
      <c r="AX14" s="75"/>
      <c r="AY14" s="75"/>
      <c r="AZ14" s="75"/>
    </row>
    <row r="15" spans="1:52" x14ac:dyDescent="0.3">
      <c r="A15" s="72">
        <v>232</v>
      </c>
      <c r="B15" s="72"/>
      <c r="C15" s="72">
        <v>1</v>
      </c>
      <c r="D15" s="72"/>
      <c r="E15" s="72"/>
      <c r="F15" s="72"/>
      <c r="G15" s="72"/>
      <c r="H15" s="72"/>
      <c r="I15" s="72"/>
      <c r="J15" s="72"/>
      <c r="K15" s="72"/>
      <c r="L15" s="72">
        <v>2</v>
      </c>
      <c r="M15" s="72"/>
      <c r="N15" s="72"/>
      <c r="O15" s="72"/>
      <c r="P15" s="72"/>
      <c r="Q15" s="72">
        <v>3</v>
      </c>
      <c r="R15" s="72"/>
      <c r="S15" s="72"/>
      <c r="T15" s="72"/>
      <c r="U15" s="72">
        <f t="shared" si="1"/>
        <v>6</v>
      </c>
      <c r="V15" s="72"/>
      <c r="W15" s="72">
        <v>16.670000000000002</v>
      </c>
      <c r="X15" s="72"/>
      <c r="Y15" s="72"/>
      <c r="Z15" s="72"/>
      <c r="AA15" s="78"/>
      <c r="AB15" s="78"/>
      <c r="AC15" s="78"/>
      <c r="AD15" s="78"/>
      <c r="AE15" s="78"/>
      <c r="AF15" s="78">
        <v>33.33</v>
      </c>
      <c r="AG15" s="72"/>
      <c r="AH15" s="78"/>
      <c r="AI15" s="78"/>
      <c r="AJ15" s="78"/>
      <c r="AK15" s="78">
        <v>50</v>
      </c>
      <c r="AL15" s="78"/>
      <c r="AM15" s="78"/>
      <c r="AN15" s="78"/>
      <c r="AO15" s="78">
        <f t="shared" si="0"/>
        <v>100</v>
      </c>
      <c r="AQ15" s="72" t="s">
        <v>27</v>
      </c>
      <c r="AR15" s="90">
        <v>52.464347826086957</v>
      </c>
      <c r="AS15" s="85"/>
      <c r="AT15" s="85"/>
      <c r="AX15" s="75"/>
      <c r="AY15" s="75"/>
      <c r="AZ15" s="75"/>
    </row>
    <row r="16" spans="1:52" x14ac:dyDescent="0.3">
      <c r="A16" s="72">
        <v>242</v>
      </c>
      <c r="B16" s="72"/>
      <c r="C16" s="72">
        <v>1</v>
      </c>
      <c r="D16" s="72"/>
      <c r="E16" s="72"/>
      <c r="F16" s="72">
        <v>1</v>
      </c>
      <c r="G16" s="72"/>
      <c r="H16" s="72"/>
      <c r="I16" s="72"/>
      <c r="J16" s="72"/>
      <c r="K16" s="72"/>
      <c r="L16" s="72">
        <v>1</v>
      </c>
      <c r="M16" s="72"/>
      <c r="N16" s="72"/>
      <c r="O16" s="72"/>
      <c r="P16" s="72"/>
      <c r="Q16" s="72"/>
      <c r="R16" s="72"/>
      <c r="S16" s="72"/>
      <c r="T16" s="72"/>
      <c r="U16" s="72">
        <f t="shared" si="1"/>
        <v>3</v>
      </c>
      <c r="V16" s="72"/>
      <c r="W16" s="72">
        <v>33.33</v>
      </c>
      <c r="X16" s="72"/>
      <c r="Y16" s="72"/>
      <c r="Z16" s="72">
        <v>33.33</v>
      </c>
      <c r="AA16" s="78"/>
      <c r="AB16" s="78"/>
      <c r="AC16" s="78"/>
      <c r="AD16" s="78"/>
      <c r="AE16" s="78"/>
      <c r="AF16" s="78">
        <v>33.33</v>
      </c>
      <c r="AG16" s="72"/>
      <c r="AH16" s="78"/>
      <c r="AI16" s="78"/>
      <c r="AJ16" s="78"/>
      <c r="AK16" s="78"/>
      <c r="AL16" s="78"/>
      <c r="AM16" s="78"/>
      <c r="AN16" s="78"/>
      <c r="AO16" s="78">
        <f t="shared" si="0"/>
        <v>99.99</v>
      </c>
      <c r="AQ16" s="72" t="s">
        <v>29</v>
      </c>
      <c r="AR16" s="90">
        <v>24.261764705882353</v>
      </c>
      <c r="AS16" s="85"/>
      <c r="AT16" s="85"/>
      <c r="AX16" s="75"/>
      <c r="AY16" s="75"/>
      <c r="AZ16" s="75"/>
    </row>
    <row r="17" spans="1:52" x14ac:dyDescent="0.3">
      <c r="A17" s="72">
        <v>234</v>
      </c>
      <c r="B17" s="72"/>
      <c r="C17" s="72"/>
      <c r="D17" s="72"/>
      <c r="E17" s="72"/>
      <c r="F17" s="72"/>
      <c r="G17" s="72">
        <v>1</v>
      </c>
      <c r="H17" s="72"/>
      <c r="I17" s="72"/>
      <c r="J17" s="72"/>
      <c r="K17" s="72"/>
      <c r="L17" s="72"/>
      <c r="M17" s="72">
        <v>3</v>
      </c>
      <c r="N17" s="72"/>
      <c r="O17" s="72"/>
      <c r="P17" s="72"/>
      <c r="Q17" s="72"/>
      <c r="R17" s="72"/>
      <c r="S17" s="72"/>
      <c r="T17" s="72"/>
      <c r="U17" s="72">
        <f t="shared" si="1"/>
        <v>4</v>
      </c>
      <c r="V17" s="72"/>
      <c r="W17" s="72"/>
      <c r="X17" s="72"/>
      <c r="Y17" s="72"/>
      <c r="Z17" s="72"/>
      <c r="AA17" s="78">
        <v>25</v>
      </c>
      <c r="AB17" s="78"/>
      <c r="AC17" s="78"/>
      <c r="AD17" s="78"/>
      <c r="AE17" s="78"/>
      <c r="AF17" s="78"/>
      <c r="AG17" s="72">
        <v>75</v>
      </c>
      <c r="AH17" s="78"/>
      <c r="AI17" s="78"/>
      <c r="AJ17" s="78"/>
      <c r="AK17" s="78"/>
      <c r="AL17" s="78"/>
      <c r="AM17" s="78"/>
      <c r="AN17" s="78"/>
      <c r="AO17" s="78">
        <f t="shared" si="0"/>
        <v>100</v>
      </c>
      <c r="AQ17" s="72" t="s">
        <v>31</v>
      </c>
      <c r="AR17" s="90">
        <v>14.28</v>
      </c>
      <c r="AS17" s="85"/>
      <c r="AT17" s="85"/>
      <c r="AX17" s="75"/>
      <c r="AY17" s="75"/>
      <c r="AZ17" s="75"/>
    </row>
    <row r="18" spans="1:52" x14ac:dyDescent="0.3">
      <c r="A18" s="72">
        <v>218</v>
      </c>
      <c r="B18" s="72"/>
      <c r="C18" s="72"/>
      <c r="D18" s="72"/>
      <c r="E18" s="72"/>
      <c r="F18" s="72">
        <v>1</v>
      </c>
      <c r="G18" s="72">
        <v>1</v>
      </c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>
        <f t="shared" si="1"/>
        <v>2</v>
      </c>
      <c r="V18" s="72"/>
      <c r="W18" s="72"/>
      <c r="X18" s="72"/>
      <c r="Y18" s="72"/>
      <c r="Z18" s="72">
        <v>50</v>
      </c>
      <c r="AA18" s="78">
        <v>50</v>
      </c>
      <c r="AB18" s="78"/>
      <c r="AC18" s="78"/>
      <c r="AD18" s="78"/>
      <c r="AE18" s="78"/>
      <c r="AF18" s="78"/>
      <c r="AG18" s="72"/>
      <c r="AH18" s="78"/>
      <c r="AI18" s="78"/>
      <c r="AJ18" s="78"/>
      <c r="AK18" s="78"/>
      <c r="AL18" s="78"/>
      <c r="AM18" s="78"/>
      <c r="AN18" s="78"/>
      <c r="AO18" s="78">
        <f t="shared" si="0"/>
        <v>100</v>
      </c>
      <c r="AQ18" s="72" t="s">
        <v>33</v>
      </c>
      <c r="AR18" s="90">
        <v>21.166</v>
      </c>
      <c r="AS18" s="85"/>
      <c r="AT18" s="85"/>
      <c r="AX18" s="75"/>
      <c r="AY18" s="75"/>
      <c r="AZ18" s="75"/>
    </row>
    <row r="19" spans="1:52" x14ac:dyDescent="0.3">
      <c r="A19" s="72">
        <v>229</v>
      </c>
      <c r="B19" s="72"/>
      <c r="C19" s="72"/>
      <c r="D19" s="72"/>
      <c r="E19" s="72"/>
      <c r="F19" s="72"/>
      <c r="G19" s="72">
        <v>1</v>
      </c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>
        <f t="shared" si="1"/>
        <v>1</v>
      </c>
      <c r="V19" s="72"/>
      <c r="W19" s="72"/>
      <c r="X19" s="72"/>
      <c r="Y19" s="72"/>
      <c r="Z19" s="72"/>
      <c r="AA19" s="78">
        <v>100</v>
      </c>
      <c r="AB19" s="78"/>
      <c r="AC19" s="78"/>
      <c r="AD19" s="78"/>
      <c r="AE19" s="78"/>
      <c r="AF19" s="78"/>
      <c r="AG19" s="72"/>
      <c r="AH19" s="78"/>
      <c r="AI19" s="78"/>
      <c r="AJ19" s="78"/>
      <c r="AK19" s="78"/>
      <c r="AL19" s="78"/>
      <c r="AM19" s="78"/>
      <c r="AN19" s="78"/>
      <c r="AO19" s="78">
        <f t="shared" si="0"/>
        <v>100</v>
      </c>
      <c r="AQ19" s="72" t="s">
        <v>35</v>
      </c>
      <c r="AR19" s="90">
        <v>38.886666666666663</v>
      </c>
      <c r="AS19" s="85"/>
      <c r="AT19" s="85"/>
      <c r="AX19" s="75"/>
      <c r="AY19" s="75"/>
      <c r="AZ19" s="75"/>
    </row>
    <row r="20" spans="1:52" x14ac:dyDescent="0.3">
      <c r="A20" s="72">
        <v>246</v>
      </c>
      <c r="B20" s="72">
        <v>1</v>
      </c>
      <c r="C20" s="72"/>
      <c r="D20" s="72"/>
      <c r="E20" s="72"/>
      <c r="F20" s="72">
        <v>3</v>
      </c>
      <c r="G20" s="72"/>
      <c r="H20" s="72">
        <v>1</v>
      </c>
      <c r="I20" s="72"/>
      <c r="J20" s="72"/>
      <c r="K20" s="72"/>
      <c r="L20" s="72">
        <v>1</v>
      </c>
      <c r="M20" s="72"/>
      <c r="N20" s="72"/>
      <c r="O20" s="72"/>
      <c r="P20" s="72"/>
      <c r="Q20" s="72"/>
      <c r="R20" s="72">
        <v>23</v>
      </c>
      <c r="S20" s="72"/>
      <c r="T20" s="72"/>
      <c r="U20" s="72">
        <f t="shared" si="1"/>
        <v>29</v>
      </c>
      <c r="V20" s="72">
        <v>3.45</v>
      </c>
      <c r="W20" s="72"/>
      <c r="X20" s="72"/>
      <c r="Y20" s="72"/>
      <c r="Z20" s="72">
        <v>10.34</v>
      </c>
      <c r="AA20" s="78"/>
      <c r="AB20" s="78">
        <v>3.45</v>
      </c>
      <c r="AC20" s="78"/>
      <c r="AD20" s="78"/>
      <c r="AE20" s="78"/>
      <c r="AF20" s="78">
        <v>3.45</v>
      </c>
      <c r="AG20" s="72"/>
      <c r="AH20" s="78"/>
      <c r="AI20" s="78"/>
      <c r="AJ20" s="78"/>
      <c r="AK20" s="78"/>
      <c r="AL20" s="78">
        <v>79.31</v>
      </c>
      <c r="AM20" s="78"/>
      <c r="AN20" s="78"/>
      <c r="AO20" s="78">
        <f t="shared" si="0"/>
        <v>100</v>
      </c>
      <c r="AQ20" s="72" t="s">
        <v>37</v>
      </c>
      <c r="AR20" s="90">
        <v>40.376363636363642</v>
      </c>
      <c r="AS20" s="85"/>
      <c r="AT20" s="85"/>
      <c r="AX20" s="75"/>
      <c r="AY20" s="75"/>
      <c r="AZ20" s="75"/>
    </row>
    <row r="21" spans="1:52" x14ac:dyDescent="0.3">
      <c r="A21" s="72">
        <v>253</v>
      </c>
      <c r="B21" s="72"/>
      <c r="C21" s="72"/>
      <c r="D21" s="72">
        <v>1</v>
      </c>
      <c r="E21" s="72"/>
      <c r="F21" s="72">
        <v>1</v>
      </c>
      <c r="G21" s="72">
        <v>1</v>
      </c>
      <c r="H21" s="72"/>
      <c r="I21" s="72"/>
      <c r="J21" s="72"/>
      <c r="K21" s="72"/>
      <c r="L21" s="72">
        <v>1</v>
      </c>
      <c r="M21" s="72"/>
      <c r="N21" s="72"/>
      <c r="O21" s="72"/>
      <c r="P21" s="72"/>
      <c r="Q21" s="72"/>
      <c r="R21" s="72">
        <v>2</v>
      </c>
      <c r="S21" s="72"/>
      <c r="T21" s="72"/>
      <c r="U21" s="72">
        <f t="shared" si="1"/>
        <v>6</v>
      </c>
      <c r="V21" s="72"/>
      <c r="W21" s="72"/>
      <c r="X21" s="72">
        <v>16.670000000000002</v>
      </c>
      <c r="Y21" s="72"/>
      <c r="Z21" s="72">
        <v>16.670000000000002</v>
      </c>
      <c r="AA21" s="78">
        <v>16.670000000000002</v>
      </c>
      <c r="AB21" s="78"/>
      <c r="AC21" s="78"/>
      <c r="AD21" s="78"/>
      <c r="AE21" s="78"/>
      <c r="AF21" s="78">
        <v>16.670000000000002</v>
      </c>
      <c r="AG21" s="72"/>
      <c r="AH21" s="78"/>
      <c r="AI21" s="78"/>
      <c r="AJ21" s="78"/>
      <c r="AK21" s="78"/>
      <c r="AL21" s="78">
        <v>33.32</v>
      </c>
      <c r="AM21" s="78"/>
      <c r="AN21" s="78"/>
      <c r="AO21" s="78">
        <f t="shared" si="0"/>
        <v>100</v>
      </c>
      <c r="AQ21" s="72" t="s">
        <v>39</v>
      </c>
      <c r="AR21" s="90">
        <v>22.22</v>
      </c>
      <c r="AS21" s="85"/>
      <c r="AT21" s="85"/>
      <c r="AX21" s="75"/>
      <c r="AY21" s="75"/>
      <c r="AZ21" s="75"/>
    </row>
    <row r="22" spans="1:52" x14ac:dyDescent="0.3">
      <c r="A22" s="72">
        <v>243</v>
      </c>
      <c r="B22" s="72"/>
      <c r="C22" s="72"/>
      <c r="D22" s="72"/>
      <c r="E22" s="72"/>
      <c r="F22" s="72">
        <v>1</v>
      </c>
      <c r="G22" s="72">
        <v>1</v>
      </c>
      <c r="H22" s="72"/>
      <c r="I22" s="72"/>
      <c r="J22" s="72"/>
      <c r="K22" s="72"/>
      <c r="L22" s="72"/>
      <c r="M22" s="72">
        <v>29</v>
      </c>
      <c r="N22" s="72"/>
      <c r="O22" s="72"/>
      <c r="P22" s="72"/>
      <c r="Q22" s="72"/>
      <c r="R22" s="72"/>
      <c r="S22" s="72"/>
      <c r="T22" s="72"/>
      <c r="U22" s="72">
        <f t="shared" si="1"/>
        <v>31</v>
      </c>
      <c r="V22" s="72"/>
      <c r="W22" s="72"/>
      <c r="X22" s="72"/>
      <c r="Y22" s="72"/>
      <c r="Z22" s="72">
        <v>3.23</v>
      </c>
      <c r="AA22" s="78">
        <v>3.23</v>
      </c>
      <c r="AB22" s="78"/>
      <c r="AC22" s="78"/>
      <c r="AD22" s="78"/>
      <c r="AE22" s="78"/>
      <c r="AF22" s="78"/>
      <c r="AG22" s="72">
        <v>93.54</v>
      </c>
      <c r="AH22" s="78"/>
      <c r="AI22" s="78"/>
      <c r="AJ22" s="78"/>
      <c r="AK22" s="78"/>
      <c r="AL22" s="78"/>
      <c r="AM22" s="78"/>
      <c r="AN22" s="78"/>
      <c r="AO22" s="78">
        <f t="shared" si="0"/>
        <v>100</v>
      </c>
      <c r="AQ22" s="72" t="s">
        <v>41</v>
      </c>
      <c r="AR22" s="90">
        <v>50</v>
      </c>
      <c r="AS22" s="85"/>
      <c r="AT22" s="85"/>
      <c r="AX22" s="75"/>
      <c r="AY22" s="75"/>
      <c r="AZ22" s="75"/>
    </row>
    <row r="23" spans="1:52" x14ac:dyDescent="0.3">
      <c r="A23" s="72">
        <v>239</v>
      </c>
      <c r="B23" s="72"/>
      <c r="C23" s="72"/>
      <c r="D23" s="72">
        <v>1</v>
      </c>
      <c r="E23" s="72"/>
      <c r="F23" s="72">
        <v>1</v>
      </c>
      <c r="G23" s="72"/>
      <c r="H23" s="72"/>
      <c r="I23" s="72"/>
      <c r="J23" s="72"/>
      <c r="K23" s="72"/>
      <c r="L23" s="72"/>
      <c r="M23" s="72"/>
      <c r="N23" s="72">
        <v>1</v>
      </c>
      <c r="O23" s="72"/>
      <c r="P23" s="72"/>
      <c r="Q23" s="72"/>
      <c r="R23" s="72">
        <v>1</v>
      </c>
      <c r="S23" s="72"/>
      <c r="T23" s="72"/>
      <c r="U23" s="72">
        <f t="shared" si="1"/>
        <v>4</v>
      </c>
      <c r="V23" s="72"/>
      <c r="W23" s="72"/>
      <c r="X23" s="72">
        <v>25</v>
      </c>
      <c r="Y23" s="72"/>
      <c r="Z23" s="72">
        <v>25</v>
      </c>
      <c r="AA23" s="78"/>
      <c r="AB23" s="78"/>
      <c r="AC23" s="78"/>
      <c r="AD23" s="78"/>
      <c r="AE23" s="78"/>
      <c r="AF23" s="78"/>
      <c r="AG23" s="72"/>
      <c r="AH23" s="78">
        <v>25</v>
      </c>
      <c r="AI23" s="78"/>
      <c r="AJ23" s="78"/>
      <c r="AK23" s="78"/>
      <c r="AL23" s="78">
        <v>25</v>
      </c>
      <c r="AM23" s="78"/>
      <c r="AN23" s="78"/>
      <c r="AO23" s="78">
        <f t="shared" si="0"/>
        <v>100</v>
      </c>
      <c r="AX23" s="75"/>
      <c r="AY23" s="75"/>
      <c r="AZ23" s="75"/>
    </row>
    <row r="24" spans="1:52" x14ac:dyDescent="0.3">
      <c r="A24" s="72">
        <v>227</v>
      </c>
      <c r="B24" s="72"/>
      <c r="C24" s="72"/>
      <c r="D24" s="72"/>
      <c r="E24" s="72">
        <v>1</v>
      </c>
      <c r="F24" s="72">
        <v>1</v>
      </c>
      <c r="G24" s="72">
        <v>1</v>
      </c>
      <c r="H24" s="72"/>
      <c r="I24" s="72"/>
      <c r="J24" s="72"/>
      <c r="K24" s="72"/>
      <c r="L24" s="72"/>
      <c r="M24" s="72">
        <v>1</v>
      </c>
      <c r="N24" s="72"/>
      <c r="O24" s="72"/>
      <c r="P24" s="72"/>
      <c r="Q24" s="72"/>
      <c r="R24" s="72"/>
      <c r="S24" s="72"/>
      <c r="T24" s="72"/>
      <c r="U24" s="72">
        <f t="shared" si="1"/>
        <v>4</v>
      </c>
      <c r="V24" s="72"/>
      <c r="W24" s="72"/>
      <c r="X24" s="72"/>
      <c r="Y24" s="72">
        <v>25</v>
      </c>
      <c r="Z24" s="72">
        <v>25</v>
      </c>
      <c r="AA24" s="78">
        <v>25</v>
      </c>
      <c r="AB24" s="78"/>
      <c r="AC24" s="78"/>
      <c r="AD24" s="78"/>
      <c r="AE24" s="78"/>
      <c r="AF24" s="78"/>
      <c r="AG24" s="72">
        <v>25</v>
      </c>
      <c r="AH24" s="78"/>
      <c r="AI24" s="78"/>
      <c r="AJ24" s="78"/>
      <c r="AK24" s="78"/>
      <c r="AL24" s="78"/>
      <c r="AM24" s="78"/>
      <c r="AN24" s="78"/>
      <c r="AO24" s="78">
        <f t="shared" si="0"/>
        <v>100</v>
      </c>
      <c r="AX24" s="75"/>
      <c r="AY24" s="75"/>
      <c r="AZ24" s="75"/>
    </row>
    <row r="25" spans="1:52" x14ac:dyDescent="0.3">
      <c r="A25" s="72">
        <v>238</v>
      </c>
      <c r="B25" s="72"/>
      <c r="C25" s="72"/>
      <c r="D25" s="72"/>
      <c r="E25" s="72"/>
      <c r="F25" s="72">
        <v>2</v>
      </c>
      <c r="G25" s="72">
        <v>1</v>
      </c>
      <c r="H25" s="72"/>
      <c r="I25" s="72"/>
      <c r="J25" s="72"/>
      <c r="K25" s="72"/>
      <c r="L25" s="72"/>
      <c r="M25" s="72"/>
      <c r="N25" s="72">
        <v>1</v>
      </c>
      <c r="O25" s="72"/>
      <c r="P25" s="72"/>
      <c r="Q25" s="72"/>
      <c r="R25" s="72">
        <v>3</v>
      </c>
      <c r="S25" s="72"/>
      <c r="T25" s="72"/>
      <c r="U25" s="72">
        <f t="shared" si="1"/>
        <v>7</v>
      </c>
      <c r="V25" s="72"/>
      <c r="W25" s="72"/>
      <c r="X25" s="72"/>
      <c r="Y25" s="72"/>
      <c r="Z25" s="72">
        <v>28.57</v>
      </c>
      <c r="AA25" s="78">
        <v>14.29</v>
      </c>
      <c r="AB25" s="78"/>
      <c r="AC25" s="78"/>
      <c r="AD25" s="78"/>
      <c r="AE25" s="78"/>
      <c r="AF25" s="78"/>
      <c r="AG25" s="72"/>
      <c r="AH25" s="78">
        <v>14.29</v>
      </c>
      <c r="AI25" s="78"/>
      <c r="AJ25" s="78"/>
      <c r="AK25" s="78"/>
      <c r="AL25" s="78">
        <v>42.85</v>
      </c>
      <c r="AM25" s="78"/>
      <c r="AN25" s="78"/>
      <c r="AO25" s="78">
        <f t="shared" si="0"/>
        <v>100</v>
      </c>
      <c r="AX25" s="75"/>
      <c r="AY25" s="75"/>
      <c r="AZ25" s="75"/>
    </row>
    <row r="26" spans="1:52" x14ac:dyDescent="0.3">
      <c r="A26" s="72">
        <v>236</v>
      </c>
      <c r="B26" s="72"/>
      <c r="C26" s="72"/>
      <c r="D26" s="72"/>
      <c r="E26" s="72"/>
      <c r="F26" s="72"/>
      <c r="G26" s="72">
        <v>1</v>
      </c>
      <c r="H26" s="72"/>
      <c r="I26" s="72"/>
      <c r="J26" s="72"/>
      <c r="K26" s="72"/>
      <c r="L26" s="72"/>
      <c r="M26" s="72">
        <v>13</v>
      </c>
      <c r="N26" s="72"/>
      <c r="O26" s="72"/>
      <c r="P26" s="72"/>
      <c r="Q26" s="72"/>
      <c r="R26" s="72"/>
      <c r="S26" s="72"/>
      <c r="T26" s="72"/>
      <c r="U26" s="72">
        <f t="shared" si="1"/>
        <v>14</v>
      </c>
      <c r="V26" s="72"/>
      <c r="W26" s="72"/>
      <c r="X26" s="72"/>
      <c r="Y26" s="72"/>
      <c r="Z26" s="72"/>
      <c r="AA26" s="78">
        <v>7.14</v>
      </c>
      <c r="AB26" s="78"/>
      <c r="AC26" s="78"/>
      <c r="AD26" s="78"/>
      <c r="AE26" s="78"/>
      <c r="AF26" s="78"/>
      <c r="AG26" s="72">
        <v>92.86</v>
      </c>
      <c r="AH26" s="78"/>
      <c r="AI26" s="78"/>
      <c r="AJ26" s="78"/>
      <c r="AK26" s="78"/>
      <c r="AL26" s="78"/>
      <c r="AM26" s="78"/>
      <c r="AN26" s="78"/>
      <c r="AO26" s="78">
        <f t="shared" si="0"/>
        <v>100</v>
      </c>
      <c r="AX26" s="75"/>
      <c r="AY26" s="75"/>
      <c r="AZ26" s="75"/>
    </row>
    <row r="27" spans="1:52" x14ac:dyDescent="0.3">
      <c r="A27" s="72">
        <v>235</v>
      </c>
      <c r="B27" s="72"/>
      <c r="C27" s="72"/>
      <c r="D27" s="72"/>
      <c r="E27" s="72"/>
      <c r="F27" s="72">
        <v>1</v>
      </c>
      <c r="G27" s="72">
        <v>1</v>
      </c>
      <c r="H27" s="72"/>
      <c r="I27" s="72"/>
      <c r="J27" s="72"/>
      <c r="K27" s="72"/>
      <c r="L27" s="72"/>
      <c r="M27" s="72">
        <v>10</v>
      </c>
      <c r="N27" s="72">
        <v>1</v>
      </c>
      <c r="O27" s="72"/>
      <c r="P27" s="72"/>
      <c r="Q27" s="72"/>
      <c r="R27" s="72">
        <v>7</v>
      </c>
      <c r="S27" s="72"/>
      <c r="T27" s="72"/>
      <c r="U27" s="72">
        <f t="shared" si="1"/>
        <v>20</v>
      </c>
      <c r="V27" s="72"/>
      <c r="W27" s="72"/>
      <c r="X27" s="72"/>
      <c r="Y27" s="72"/>
      <c r="Z27" s="72">
        <v>5</v>
      </c>
      <c r="AA27" s="78">
        <v>5</v>
      </c>
      <c r="AB27" s="78"/>
      <c r="AC27" s="78"/>
      <c r="AD27" s="78"/>
      <c r="AE27" s="78"/>
      <c r="AF27" s="78"/>
      <c r="AG27" s="72">
        <v>50</v>
      </c>
      <c r="AH27" s="78">
        <v>5</v>
      </c>
      <c r="AI27" s="78"/>
      <c r="AJ27" s="78"/>
      <c r="AK27" s="78"/>
      <c r="AL27" s="78">
        <v>35</v>
      </c>
      <c r="AM27" s="78"/>
      <c r="AN27" s="78"/>
      <c r="AO27" s="78">
        <f t="shared" si="0"/>
        <v>100</v>
      </c>
      <c r="AX27" s="75"/>
      <c r="AY27" s="75"/>
      <c r="AZ27" s="75"/>
    </row>
    <row r="28" spans="1:52" x14ac:dyDescent="0.3">
      <c r="A28" s="72">
        <v>225</v>
      </c>
      <c r="B28" s="72"/>
      <c r="C28" s="72"/>
      <c r="D28" s="72"/>
      <c r="E28" s="72"/>
      <c r="F28" s="72">
        <v>1</v>
      </c>
      <c r="G28" s="72">
        <v>1</v>
      </c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>
        <f t="shared" si="1"/>
        <v>2</v>
      </c>
      <c r="V28" s="72"/>
      <c r="W28" s="72"/>
      <c r="X28" s="72"/>
      <c r="Y28" s="72"/>
      <c r="Z28" s="72">
        <v>50</v>
      </c>
      <c r="AA28" s="78">
        <v>50</v>
      </c>
      <c r="AB28" s="78"/>
      <c r="AC28" s="78"/>
      <c r="AD28" s="78"/>
      <c r="AE28" s="78"/>
      <c r="AF28" s="78"/>
      <c r="AG28" s="72"/>
      <c r="AH28" s="78"/>
      <c r="AI28" s="78"/>
      <c r="AJ28" s="78"/>
      <c r="AK28" s="78"/>
      <c r="AL28" s="78"/>
      <c r="AM28" s="78"/>
      <c r="AN28" s="78"/>
      <c r="AO28" s="78">
        <f t="shared" si="0"/>
        <v>100</v>
      </c>
      <c r="AX28" s="75"/>
      <c r="AY28" s="75"/>
      <c r="AZ28" s="75"/>
    </row>
    <row r="29" spans="1:52" x14ac:dyDescent="0.3">
      <c r="A29" s="72">
        <v>240</v>
      </c>
      <c r="B29" s="72"/>
      <c r="C29" s="72"/>
      <c r="D29" s="72">
        <v>1</v>
      </c>
      <c r="E29" s="72"/>
      <c r="F29" s="72">
        <v>1</v>
      </c>
      <c r="G29" s="72">
        <v>2</v>
      </c>
      <c r="H29" s="72"/>
      <c r="I29" s="72"/>
      <c r="J29" s="72"/>
      <c r="K29" s="72"/>
      <c r="L29" s="72"/>
      <c r="M29" s="72">
        <v>1</v>
      </c>
      <c r="N29" s="72"/>
      <c r="O29" s="72"/>
      <c r="P29" s="72"/>
      <c r="Q29" s="72"/>
      <c r="R29" s="72"/>
      <c r="S29" s="72"/>
      <c r="T29" s="72"/>
      <c r="U29" s="72">
        <f t="shared" si="1"/>
        <v>5</v>
      </c>
      <c r="V29" s="72"/>
      <c r="W29" s="72"/>
      <c r="X29" s="72">
        <v>20</v>
      </c>
      <c r="Y29" s="72"/>
      <c r="Z29" s="72">
        <v>20</v>
      </c>
      <c r="AA29" s="78">
        <v>40</v>
      </c>
      <c r="AB29" s="78"/>
      <c r="AC29" s="78"/>
      <c r="AD29" s="78"/>
      <c r="AE29" s="78"/>
      <c r="AF29" s="78"/>
      <c r="AG29" s="72">
        <v>20</v>
      </c>
      <c r="AH29" s="78"/>
      <c r="AI29" s="78"/>
      <c r="AJ29" s="78"/>
      <c r="AK29" s="78"/>
      <c r="AL29" s="78"/>
      <c r="AM29" s="78"/>
      <c r="AN29" s="78"/>
      <c r="AO29" s="78">
        <f t="shared" si="0"/>
        <v>100</v>
      </c>
      <c r="AX29" s="75"/>
      <c r="AY29" s="75"/>
      <c r="AZ29" s="75"/>
    </row>
    <row r="30" spans="1:52" x14ac:dyDescent="0.3">
      <c r="A30" s="72">
        <v>250</v>
      </c>
      <c r="B30" s="72"/>
      <c r="C30" s="72"/>
      <c r="D30" s="72"/>
      <c r="E30" s="72"/>
      <c r="F30" s="72">
        <v>1</v>
      </c>
      <c r="G30" s="72">
        <v>2</v>
      </c>
      <c r="H30" s="72"/>
      <c r="I30" s="72"/>
      <c r="J30" s="72"/>
      <c r="K30" s="72"/>
      <c r="L30" s="72"/>
      <c r="M30" s="72">
        <v>3</v>
      </c>
      <c r="N30" s="72"/>
      <c r="O30" s="72"/>
      <c r="P30" s="72"/>
      <c r="Q30" s="72"/>
      <c r="R30" s="72"/>
      <c r="S30" s="72"/>
      <c r="T30" s="72"/>
      <c r="U30" s="72">
        <f t="shared" si="1"/>
        <v>6</v>
      </c>
      <c r="V30" s="72"/>
      <c r="W30" s="72"/>
      <c r="X30" s="72"/>
      <c r="Y30" s="72"/>
      <c r="Z30" s="72">
        <v>16.670000000000002</v>
      </c>
      <c r="AA30" s="78">
        <v>33.33</v>
      </c>
      <c r="AB30" s="78"/>
      <c r="AC30" s="78"/>
      <c r="AD30" s="78"/>
      <c r="AE30" s="78"/>
      <c r="AF30" s="78"/>
      <c r="AG30" s="72">
        <v>50</v>
      </c>
      <c r="AH30" s="78"/>
      <c r="AI30" s="78"/>
      <c r="AJ30" s="78"/>
      <c r="AK30" s="78"/>
      <c r="AL30" s="78"/>
      <c r="AM30" s="78"/>
      <c r="AN30" s="78"/>
      <c r="AO30" s="78">
        <f t="shared" si="0"/>
        <v>100</v>
      </c>
      <c r="AX30" s="75"/>
      <c r="AY30" s="75"/>
      <c r="AZ30" s="75"/>
    </row>
    <row r="31" spans="1:52" x14ac:dyDescent="0.3">
      <c r="A31" s="72">
        <v>221</v>
      </c>
      <c r="B31" s="72"/>
      <c r="C31" s="72">
        <v>1</v>
      </c>
      <c r="D31" s="72"/>
      <c r="E31" s="72"/>
      <c r="F31" s="72">
        <v>1</v>
      </c>
      <c r="G31" s="72"/>
      <c r="H31" s="72"/>
      <c r="I31" s="72"/>
      <c r="J31" s="72"/>
      <c r="K31" s="72">
        <v>1</v>
      </c>
      <c r="L31" s="72"/>
      <c r="M31" s="72">
        <v>1</v>
      </c>
      <c r="N31" s="72"/>
      <c r="O31" s="72"/>
      <c r="P31" s="72"/>
      <c r="Q31" s="72"/>
      <c r="R31" s="72"/>
      <c r="S31" s="72"/>
      <c r="T31" s="72"/>
      <c r="U31" s="72">
        <f t="shared" si="1"/>
        <v>4</v>
      </c>
      <c r="V31" s="72"/>
      <c r="W31" s="72">
        <v>25</v>
      </c>
      <c r="X31" s="72"/>
      <c r="Y31" s="72"/>
      <c r="Z31" s="72">
        <v>25</v>
      </c>
      <c r="AA31" s="78"/>
      <c r="AB31" s="78"/>
      <c r="AC31" s="78"/>
      <c r="AD31" s="78"/>
      <c r="AE31" s="78">
        <v>25</v>
      </c>
      <c r="AF31" s="78"/>
      <c r="AG31" s="72">
        <v>25</v>
      </c>
      <c r="AH31" s="78"/>
      <c r="AI31" s="78"/>
      <c r="AJ31" s="78"/>
      <c r="AK31" s="78"/>
      <c r="AL31" s="78"/>
      <c r="AM31" s="78"/>
      <c r="AN31" s="78"/>
      <c r="AO31" s="78">
        <f t="shared" si="0"/>
        <v>100</v>
      </c>
      <c r="AX31" s="75"/>
      <c r="AY31" s="75"/>
      <c r="AZ31" s="75"/>
    </row>
    <row r="32" spans="1:52" x14ac:dyDescent="0.3">
      <c r="A32" s="72">
        <v>220</v>
      </c>
      <c r="B32" s="72"/>
      <c r="C32" s="72">
        <v>1</v>
      </c>
      <c r="D32" s="72"/>
      <c r="E32" s="72"/>
      <c r="F32" s="72"/>
      <c r="G32" s="72"/>
      <c r="H32" s="72"/>
      <c r="I32" s="72"/>
      <c r="J32" s="72"/>
      <c r="K32" s="72"/>
      <c r="L32" s="72">
        <v>1</v>
      </c>
      <c r="M32" s="72"/>
      <c r="N32" s="72"/>
      <c r="O32" s="72"/>
      <c r="P32" s="72"/>
      <c r="Q32" s="72"/>
      <c r="R32" s="72"/>
      <c r="S32" s="72"/>
      <c r="T32" s="72"/>
      <c r="U32" s="72">
        <f t="shared" si="1"/>
        <v>2</v>
      </c>
      <c r="V32" s="72"/>
      <c r="W32" s="72">
        <v>50</v>
      </c>
      <c r="X32" s="72"/>
      <c r="Y32" s="72"/>
      <c r="Z32" s="72"/>
      <c r="AA32" s="78"/>
      <c r="AB32" s="78"/>
      <c r="AC32" s="78"/>
      <c r="AD32" s="78"/>
      <c r="AE32" s="78"/>
      <c r="AF32" s="78">
        <v>50</v>
      </c>
      <c r="AG32" s="72"/>
      <c r="AH32" s="78"/>
      <c r="AI32" s="78"/>
      <c r="AJ32" s="78"/>
      <c r="AK32" s="78"/>
      <c r="AL32" s="78"/>
      <c r="AM32" s="78"/>
      <c r="AN32" s="78"/>
      <c r="AO32" s="78">
        <f t="shared" si="0"/>
        <v>100</v>
      </c>
      <c r="AX32" s="75"/>
      <c r="AY32" s="75"/>
      <c r="AZ32" s="75"/>
    </row>
    <row r="33" spans="1:52" x14ac:dyDescent="0.3">
      <c r="A33" s="72">
        <v>247</v>
      </c>
      <c r="B33" s="72"/>
      <c r="C33" s="72"/>
      <c r="D33" s="72"/>
      <c r="E33" s="72"/>
      <c r="F33" s="72">
        <v>1</v>
      </c>
      <c r="G33" s="72">
        <v>1</v>
      </c>
      <c r="H33" s="72"/>
      <c r="I33" s="72"/>
      <c r="J33" s="72"/>
      <c r="K33" s="72"/>
      <c r="L33" s="72"/>
      <c r="M33" s="72">
        <v>7</v>
      </c>
      <c r="N33" s="72"/>
      <c r="O33" s="72"/>
      <c r="P33" s="72">
        <v>1</v>
      </c>
      <c r="Q33" s="72"/>
      <c r="R33" s="72"/>
      <c r="S33" s="72"/>
      <c r="T33" s="72"/>
      <c r="U33" s="72">
        <f t="shared" si="1"/>
        <v>10</v>
      </c>
      <c r="V33" s="72"/>
      <c r="W33" s="72"/>
      <c r="X33" s="72"/>
      <c r="Y33" s="72"/>
      <c r="Z33" s="72">
        <v>10</v>
      </c>
      <c r="AA33" s="78">
        <v>10</v>
      </c>
      <c r="AB33" s="78"/>
      <c r="AC33" s="78"/>
      <c r="AD33" s="78"/>
      <c r="AE33" s="78"/>
      <c r="AF33" s="78"/>
      <c r="AG33" s="72">
        <v>70</v>
      </c>
      <c r="AH33" s="78"/>
      <c r="AI33" s="78"/>
      <c r="AJ33" s="78">
        <v>10</v>
      </c>
      <c r="AK33" s="78"/>
      <c r="AL33" s="78"/>
      <c r="AM33" s="78"/>
      <c r="AN33" s="78"/>
      <c r="AO33" s="78">
        <f t="shared" si="0"/>
        <v>100</v>
      </c>
      <c r="AX33" s="75"/>
      <c r="AY33" s="75"/>
      <c r="AZ33" s="75"/>
    </row>
    <row r="34" spans="1:52" x14ac:dyDescent="0.3">
      <c r="A34" s="72">
        <v>224</v>
      </c>
      <c r="B34" s="72"/>
      <c r="C34" s="72"/>
      <c r="D34" s="72"/>
      <c r="E34" s="72"/>
      <c r="F34" s="72">
        <v>1</v>
      </c>
      <c r="G34" s="72">
        <v>1</v>
      </c>
      <c r="H34" s="72"/>
      <c r="I34" s="72"/>
      <c r="J34" s="72"/>
      <c r="K34" s="72"/>
      <c r="L34" s="72"/>
      <c r="M34" s="72">
        <v>1</v>
      </c>
      <c r="N34" s="72"/>
      <c r="O34" s="72"/>
      <c r="P34" s="72"/>
      <c r="Q34" s="72"/>
      <c r="R34" s="72">
        <v>1</v>
      </c>
      <c r="S34" s="72"/>
      <c r="T34" s="72"/>
      <c r="U34" s="72">
        <f t="shared" si="1"/>
        <v>4</v>
      </c>
      <c r="V34" s="72"/>
      <c r="W34" s="72"/>
      <c r="X34" s="72"/>
      <c r="Y34" s="72"/>
      <c r="Z34" s="72">
        <v>25</v>
      </c>
      <c r="AA34" s="78">
        <v>25</v>
      </c>
      <c r="AB34" s="78"/>
      <c r="AC34" s="78"/>
      <c r="AD34" s="78"/>
      <c r="AE34" s="78"/>
      <c r="AF34" s="78"/>
      <c r="AG34" s="72">
        <v>25</v>
      </c>
      <c r="AH34" s="78"/>
      <c r="AI34" s="78"/>
      <c r="AJ34" s="78"/>
      <c r="AK34" s="78"/>
      <c r="AL34" s="78">
        <v>25</v>
      </c>
      <c r="AM34" s="78"/>
      <c r="AN34" s="78"/>
      <c r="AO34" s="78">
        <f t="shared" ref="AO34:AO65" si="2">SUM(V34:AN34)</f>
        <v>100</v>
      </c>
      <c r="AX34" s="75"/>
      <c r="AY34" s="75"/>
      <c r="AZ34" s="75"/>
    </row>
    <row r="35" spans="1:52" x14ac:dyDescent="0.3">
      <c r="A35" s="72">
        <v>222</v>
      </c>
      <c r="B35" s="72"/>
      <c r="C35" s="72"/>
      <c r="D35" s="72"/>
      <c r="E35" s="72"/>
      <c r="F35" s="72">
        <v>1</v>
      </c>
      <c r="G35" s="72">
        <v>1</v>
      </c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>
        <f t="shared" si="1"/>
        <v>2</v>
      </c>
      <c r="V35" s="72"/>
      <c r="W35" s="72"/>
      <c r="X35" s="72"/>
      <c r="Y35" s="72"/>
      <c r="Z35" s="72">
        <v>50</v>
      </c>
      <c r="AA35" s="78">
        <v>50</v>
      </c>
      <c r="AB35" s="78"/>
      <c r="AC35" s="78"/>
      <c r="AD35" s="78"/>
      <c r="AE35" s="78"/>
      <c r="AF35" s="78"/>
      <c r="AG35" s="72"/>
      <c r="AH35" s="78"/>
      <c r="AI35" s="78"/>
      <c r="AJ35" s="78"/>
      <c r="AK35" s="78"/>
      <c r="AL35" s="78"/>
      <c r="AM35" s="78"/>
      <c r="AN35" s="78"/>
      <c r="AO35" s="78">
        <f t="shared" si="2"/>
        <v>100</v>
      </c>
      <c r="AX35" s="75"/>
      <c r="AY35" s="75"/>
      <c r="AZ35" s="75"/>
    </row>
    <row r="36" spans="1:52" x14ac:dyDescent="0.3">
      <c r="A36" s="72">
        <v>136</v>
      </c>
      <c r="B36" s="72">
        <v>1</v>
      </c>
      <c r="C36" s="72"/>
      <c r="D36" s="72"/>
      <c r="E36" s="72"/>
      <c r="F36" s="72">
        <v>1</v>
      </c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>
        <f t="shared" si="1"/>
        <v>2</v>
      </c>
      <c r="V36" s="72">
        <v>50</v>
      </c>
      <c r="W36" s="72"/>
      <c r="X36" s="72"/>
      <c r="Y36" s="72"/>
      <c r="Z36" s="72">
        <v>50</v>
      </c>
      <c r="AA36" s="78"/>
      <c r="AB36" s="78"/>
      <c r="AC36" s="78"/>
      <c r="AD36" s="78"/>
      <c r="AE36" s="78"/>
      <c r="AF36" s="78"/>
      <c r="AG36" s="72"/>
      <c r="AH36" s="78"/>
      <c r="AI36" s="78"/>
      <c r="AJ36" s="78"/>
      <c r="AK36" s="78"/>
      <c r="AL36" s="78"/>
      <c r="AM36" s="78"/>
      <c r="AN36" s="78"/>
      <c r="AO36" s="78">
        <f t="shared" si="2"/>
        <v>100</v>
      </c>
      <c r="AX36" s="75"/>
      <c r="AY36" s="75"/>
      <c r="AZ36" s="75"/>
    </row>
    <row r="37" spans="1:52" x14ac:dyDescent="0.3">
      <c r="A37" s="72">
        <v>213</v>
      </c>
      <c r="B37" s="72"/>
      <c r="C37" s="72"/>
      <c r="D37" s="72">
        <v>2</v>
      </c>
      <c r="E37" s="72"/>
      <c r="F37" s="72">
        <v>1</v>
      </c>
      <c r="G37" s="72">
        <v>1</v>
      </c>
      <c r="H37" s="72"/>
      <c r="I37" s="72"/>
      <c r="J37" s="72"/>
      <c r="K37" s="72"/>
      <c r="L37" s="72">
        <v>2</v>
      </c>
      <c r="M37" s="72"/>
      <c r="N37" s="72"/>
      <c r="O37" s="72">
        <v>1</v>
      </c>
      <c r="P37" s="72"/>
      <c r="Q37" s="72"/>
      <c r="R37" s="72"/>
      <c r="S37" s="72"/>
      <c r="T37" s="72"/>
      <c r="U37" s="72">
        <f t="shared" si="1"/>
        <v>7</v>
      </c>
      <c r="V37" s="72"/>
      <c r="W37" s="72"/>
      <c r="X37" s="72">
        <v>28.58</v>
      </c>
      <c r="Y37" s="72"/>
      <c r="Z37" s="72">
        <v>14.28</v>
      </c>
      <c r="AA37" s="78">
        <v>14.28</v>
      </c>
      <c r="AB37" s="78"/>
      <c r="AC37" s="78"/>
      <c r="AD37" s="78"/>
      <c r="AE37" s="78"/>
      <c r="AF37" s="78">
        <v>28.58</v>
      </c>
      <c r="AG37" s="72"/>
      <c r="AH37" s="78"/>
      <c r="AI37" s="78">
        <v>14.28</v>
      </c>
      <c r="AJ37" s="78"/>
      <c r="AK37" s="78"/>
      <c r="AL37" s="78"/>
      <c r="AM37" s="78"/>
      <c r="AN37" s="78"/>
      <c r="AO37" s="78">
        <f t="shared" si="2"/>
        <v>100</v>
      </c>
      <c r="AX37" s="75"/>
      <c r="AY37" s="75"/>
      <c r="AZ37" s="75"/>
    </row>
    <row r="38" spans="1:52" x14ac:dyDescent="0.3">
      <c r="A38" s="72">
        <v>212</v>
      </c>
      <c r="B38" s="72"/>
      <c r="C38" s="72"/>
      <c r="D38" s="72"/>
      <c r="E38" s="72">
        <v>1</v>
      </c>
      <c r="F38" s="72"/>
      <c r="G38" s="72">
        <v>1</v>
      </c>
      <c r="H38" s="72">
        <v>1</v>
      </c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>
        <f t="shared" si="1"/>
        <v>3</v>
      </c>
      <c r="V38" s="72"/>
      <c r="W38" s="72"/>
      <c r="X38" s="72"/>
      <c r="Y38" s="72">
        <v>33.33</v>
      </c>
      <c r="Z38" s="72"/>
      <c r="AA38" s="78">
        <v>33.33</v>
      </c>
      <c r="AB38" s="78">
        <v>33.33</v>
      </c>
      <c r="AC38" s="78"/>
      <c r="AD38" s="78"/>
      <c r="AE38" s="78"/>
      <c r="AF38" s="78"/>
      <c r="AG38" s="72"/>
      <c r="AH38" s="78"/>
      <c r="AI38" s="78"/>
      <c r="AJ38" s="78"/>
      <c r="AK38" s="78"/>
      <c r="AL38" s="78"/>
      <c r="AM38" s="78"/>
      <c r="AN38" s="78"/>
      <c r="AO38" s="78">
        <f t="shared" si="2"/>
        <v>99.99</v>
      </c>
      <c r="AX38" s="75"/>
      <c r="AY38" s="75"/>
      <c r="AZ38" s="75"/>
    </row>
    <row r="39" spans="1:52" x14ac:dyDescent="0.3">
      <c r="A39" s="72">
        <v>209</v>
      </c>
      <c r="B39" s="72"/>
      <c r="C39" s="72"/>
      <c r="D39" s="72"/>
      <c r="E39" s="72"/>
      <c r="F39" s="72"/>
      <c r="G39" s="72">
        <v>1</v>
      </c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>
        <v>1</v>
      </c>
      <c r="S39" s="72"/>
      <c r="T39" s="72"/>
      <c r="U39" s="72">
        <f t="shared" si="1"/>
        <v>2</v>
      </c>
      <c r="V39" s="72"/>
      <c r="W39" s="72"/>
      <c r="X39" s="72"/>
      <c r="Y39" s="72"/>
      <c r="Z39" s="72"/>
      <c r="AA39" s="78">
        <v>50</v>
      </c>
      <c r="AB39" s="78"/>
      <c r="AC39" s="78"/>
      <c r="AD39" s="78"/>
      <c r="AE39" s="78"/>
      <c r="AF39" s="78"/>
      <c r="AG39" s="72"/>
      <c r="AH39" s="78"/>
      <c r="AI39" s="78"/>
      <c r="AJ39" s="78"/>
      <c r="AK39" s="78"/>
      <c r="AL39" s="78">
        <v>50</v>
      </c>
      <c r="AM39" s="78"/>
      <c r="AN39" s="78"/>
      <c r="AO39" s="78">
        <f t="shared" si="2"/>
        <v>100</v>
      </c>
      <c r="AX39" s="75"/>
      <c r="AY39" s="75"/>
      <c r="AZ39" s="75"/>
    </row>
    <row r="40" spans="1:52" x14ac:dyDescent="0.3">
      <c r="A40" s="72">
        <v>45</v>
      </c>
      <c r="B40" s="72"/>
      <c r="C40" s="72"/>
      <c r="D40" s="72">
        <v>1</v>
      </c>
      <c r="E40" s="72"/>
      <c r="F40" s="72">
        <v>1</v>
      </c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>
        <v>1</v>
      </c>
      <c r="R40" s="72"/>
      <c r="S40" s="72"/>
      <c r="T40" s="72"/>
      <c r="U40" s="72">
        <f t="shared" si="1"/>
        <v>3</v>
      </c>
      <c r="V40" s="72"/>
      <c r="W40" s="72"/>
      <c r="X40" s="72">
        <v>33.33</v>
      </c>
      <c r="Y40" s="72"/>
      <c r="Z40" s="72">
        <v>33.33</v>
      </c>
      <c r="AA40" s="78"/>
      <c r="AB40" s="78"/>
      <c r="AC40" s="78"/>
      <c r="AD40" s="78"/>
      <c r="AE40" s="78"/>
      <c r="AF40" s="78"/>
      <c r="AG40" s="72"/>
      <c r="AH40" s="78"/>
      <c r="AI40" s="78"/>
      <c r="AJ40" s="78"/>
      <c r="AK40" s="78">
        <v>33.33</v>
      </c>
      <c r="AL40" s="78"/>
      <c r="AM40" s="78"/>
      <c r="AN40" s="78"/>
      <c r="AO40" s="78">
        <f t="shared" si="2"/>
        <v>99.99</v>
      </c>
      <c r="AX40" s="75"/>
      <c r="AY40" s="75"/>
      <c r="AZ40" s="75"/>
    </row>
    <row r="41" spans="1:52" x14ac:dyDescent="0.3">
      <c r="A41" s="72">
        <v>219</v>
      </c>
      <c r="B41" s="72"/>
      <c r="C41" s="72"/>
      <c r="D41" s="72"/>
      <c r="E41" s="72"/>
      <c r="F41" s="72"/>
      <c r="G41" s="72">
        <v>1</v>
      </c>
      <c r="H41" s="72"/>
      <c r="I41" s="72">
        <v>2</v>
      </c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>
        <f t="shared" si="1"/>
        <v>3</v>
      </c>
      <c r="V41" s="72"/>
      <c r="W41" s="72"/>
      <c r="X41" s="72"/>
      <c r="Y41" s="72"/>
      <c r="Z41" s="72"/>
      <c r="AA41" s="78">
        <v>33.33</v>
      </c>
      <c r="AB41" s="78"/>
      <c r="AC41" s="78">
        <v>66.67</v>
      </c>
      <c r="AD41" s="78"/>
      <c r="AE41" s="78"/>
      <c r="AF41" s="78"/>
      <c r="AG41" s="72"/>
      <c r="AH41" s="78"/>
      <c r="AI41" s="78"/>
      <c r="AJ41" s="78"/>
      <c r="AK41" s="78"/>
      <c r="AL41" s="78"/>
      <c r="AM41" s="78"/>
      <c r="AN41" s="78"/>
      <c r="AO41" s="78">
        <f t="shared" si="2"/>
        <v>100</v>
      </c>
      <c r="AX41" s="75"/>
      <c r="AY41" s="75"/>
      <c r="AZ41" s="75"/>
    </row>
    <row r="42" spans="1:52" x14ac:dyDescent="0.3">
      <c r="A42" s="72">
        <v>53</v>
      </c>
      <c r="B42" s="72"/>
      <c r="C42" s="72"/>
      <c r="D42" s="72"/>
      <c r="E42" s="72"/>
      <c r="F42" s="72">
        <v>1</v>
      </c>
      <c r="G42" s="72">
        <v>1</v>
      </c>
      <c r="H42" s="72"/>
      <c r="I42" s="72"/>
      <c r="J42" s="72"/>
      <c r="K42" s="72"/>
      <c r="L42" s="72"/>
      <c r="M42" s="72">
        <v>1</v>
      </c>
      <c r="N42" s="72"/>
      <c r="O42" s="72"/>
      <c r="P42" s="72">
        <v>1</v>
      </c>
      <c r="Q42" s="72"/>
      <c r="R42" s="72"/>
      <c r="S42" s="72"/>
      <c r="T42" s="72"/>
      <c r="U42" s="72">
        <f t="shared" si="1"/>
        <v>4</v>
      </c>
      <c r="V42" s="72"/>
      <c r="W42" s="72"/>
      <c r="X42" s="72"/>
      <c r="Y42" s="72"/>
      <c r="Z42" s="72">
        <v>25</v>
      </c>
      <c r="AA42" s="78">
        <v>25</v>
      </c>
      <c r="AB42" s="78"/>
      <c r="AC42" s="78"/>
      <c r="AD42" s="78"/>
      <c r="AE42" s="78"/>
      <c r="AF42" s="78"/>
      <c r="AG42" s="72">
        <v>25</v>
      </c>
      <c r="AH42" s="78"/>
      <c r="AI42" s="78"/>
      <c r="AJ42" s="78">
        <v>25</v>
      </c>
      <c r="AK42" s="78"/>
      <c r="AL42" s="78"/>
      <c r="AM42" s="78"/>
      <c r="AN42" s="78"/>
      <c r="AO42" s="78">
        <f t="shared" si="2"/>
        <v>100</v>
      </c>
      <c r="AX42" s="75"/>
      <c r="AY42" s="75"/>
      <c r="AZ42" s="75"/>
    </row>
    <row r="43" spans="1:52" x14ac:dyDescent="0.3">
      <c r="A43" s="72">
        <v>241</v>
      </c>
      <c r="B43" s="72"/>
      <c r="C43" s="72"/>
      <c r="D43" s="72"/>
      <c r="E43" s="72">
        <v>1</v>
      </c>
      <c r="F43" s="72"/>
      <c r="G43" s="72">
        <v>1</v>
      </c>
      <c r="H43" s="72"/>
      <c r="I43" s="72"/>
      <c r="J43" s="72"/>
      <c r="K43" s="72"/>
      <c r="L43" s="72"/>
      <c r="M43" s="72">
        <v>1</v>
      </c>
      <c r="N43" s="72"/>
      <c r="O43" s="72"/>
      <c r="P43" s="72"/>
      <c r="Q43" s="72"/>
      <c r="R43" s="72"/>
      <c r="S43" s="72"/>
      <c r="T43" s="72"/>
      <c r="U43" s="72">
        <f t="shared" si="1"/>
        <v>3</v>
      </c>
      <c r="V43" s="72"/>
      <c r="W43" s="72"/>
      <c r="X43" s="72"/>
      <c r="Y43" s="72">
        <v>33.33</v>
      </c>
      <c r="Z43" s="72"/>
      <c r="AA43" s="78">
        <v>33.33</v>
      </c>
      <c r="AB43" s="78"/>
      <c r="AC43" s="78"/>
      <c r="AD43" s="78"/>
      <c r="AE43" s="78"/>
      <c r="AF43" s="78"/>
      <c r="AG43" s="72">
        <v>33.33</v>
      </c>
      <c r="AH43" s="78"/>
      <c r="AI43" s="78"/>
      <c r="AJ43" s="78"/>
      <c r="AK43" s="78"/>
      <c r="AL43" s="78"/>
      <c r="AM43" s="78"/>
      <c r="AN43" s="78"/>
      <c r="AO43" s="78">
        <f t="shared" si="2"/>
        <v>99.99</v>
      </c>
      <c r="AX43" s="75"/>
      <c r="AY43" s="75"/>
      <c r="AZ43" s="75"/>
    </row>
    <row r="44" spans="1:52" x14ac:dyDescent="0.3">
      <c r="A44" s="72">
        <v>135</v>
      </c>
      <c r="B44" s="72"/>
      <c r="C44" s="72"/>
      <c r="D44" s="72"/>
      <c r="E44" s="72"/>
      <c r="F44" s="72"/>
      <c r="G44" s="72">
        <v>1</v>
      </c>
      <c r="H44" s="72"/>
      <c r="I44" s="72">
        <v>1</v>
      </c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>
        <f t="shared" si="1"/>
        <v>2</v>
      </c>
      <c r="V44" s="72"/>
      <c r="W44" s="72"/>
      <c r="X44" s="72"/>
      <c r="Y44" s="72"/>
      <c r="Z44" s="72"/>
      <c r="AA44" s="78">
        <v>50</v>
      </c>
      <c r="AB44" s="78"/>
      <c r="AC44" s="78">
        <v>50</v>
      </c>
      <c r="AD44" s="78"/>
      <c r="AE44" s="78"/>
      <c r="AF44" s="78"/>
      <c r="AG44" s="72"/>
      <c r="AH44" s="78"/>
      <c r="AI44" s="78"/>
      <c r="AJ44" s="78"/>
      <c r="AK44" s="78"/>
      <c r="AL44" s="78"/>
      <c r="AM44" s="78"/>
      <c r="AN44" s="78"/>
      <c r="AO44" s="78">
        <f t="shared" si="2"/>
        <v>100</v>
      </c>
      <c r="AX44" s="75"/>
      <c r="AY44" s="75"/>
      <c r="AZ44" s="75"/>
    </row>
    <row r="45" spans="1:52" x14ac:dyDescent="0.3">
      <c r="A45" s="72">
        <v>137</v>
      </c>
      <c r="B45" s="72"/>
      <c r="C45" s="72"/>
      <c r="D45" s="72"/>
      <c r="E45" s="72">
        <v>1</v>
      </c>
      <c r="F45" s="72"/>
      <c r="G45" s="72">
        <v>1</v>
      </c>
      <c r="H45" s="72"/>
      <c r="I45" s="72"/>
      <c r="J45" s="72"/>
      <c r="K45" s="72"/>
      <c r="L45" s="72"/>
      <c r="M45" s="72">
        <v>6</v>
      </c>
      <c r="N45" s="72"/>
      <c r="O45" s="72"/>
      <c r="P45" s="72"/>
      <c r="Q45" s="72"/>
      <c r="R45" s="72"/>
      <c r="S45" s="72"/>
      <c r="T45" s="72"/>
      <c r="U45" s="72">
        <f t="shared" si="1"/>
        <v>8</v>
      </c>
      <c r="V45" s="72"/>
      <c r="W45" s="72"/>
      <c r="X45" s="72"/>
      <c r="Y45" s="72">
        <v>12.5</v>
      </c>
      <c r="Z45" s="72"/>
      <c r="AA45" s="78">
        <v>12.5</v>
      </c>
      <c r="AB45" s="78"/>
      <c r="AC45" s="78"/>
      <c r="AD45" s="78"/>
      <c r="AE45" s="78"/>
      <c r="AF45" s="78"/>
      <c r="AG45" s="72">
        <v>75</v>
      </c>
      <c r="AH45" s="78"/>
      <c r="AI45" s="78"/>
      <c r="AJ45" s="78"/>
      <c r="AK45" s="78"/>
      <c r="AL45" s="78"/>
      <c r="AM45" s="78"/>
      <c r="AN45" s="78"/>
      <c r="AO45" s="78">
        <f t="shared" si="2"/>
        <v>100</v>
      </c>
      <c r="AX45" s="75"/>
      <c r="AY45" s="75"/>
      <c r="AZ45" s="75"/>
    </row>
    <row r="46" spans="1:52" x14ac:dyDescent="0.3">
      <c r="A46" s="72">
        <v>55</v>
      </c>
      <c r="B46" s="72"/>
      <c r="C46" s="72">
        <v>1</v>
      </c>
      <c r="D46" s="72"/>
      <c r="E46" s="72"/>
      <c r="F46" s="72">
        <v>1</v>
      </c>
      <c r="G46" s="72">
        <v>1</v>
      </c>
      <c r="H46" s="72"/>
      <c r="I46" s="72"/>
      <c r="J46" s="72"/>
      <c r="K46" s="72"/>
      <c r="L46" s="72">
        <v>1</v>
      </c>
      <c r="M46" s="72"/>
      <c r="N46" s="72"/>
      <c r="O46" s="72"/>
      <c r="P46" s="72"/>
      <c r="Q46" s="72"/>
      <c r="R46" s="72"/>
      <c r="S46" s="72"/>
      <c r="T46" s="72"/>
      <c r="U46" s="72">
        <f t="shared" si="1"/>
        <v>4</v>
      </c>
      <c r="V46" s="72"/>
      <c r="W46" s="72">
        <v>25</v>
      </c>
      <c r="X46" s="72"/>
      <c r="Y46" s="72"/>
      <c r="Z46" s="72">
        <v>25</v>
      </c>
      <c r="AA46" s="78">
        <v>25</v>
      </c>
      <c r="AB46" s="78"/>
      <c r="AC46" s="78"/>
      <c r="AD46" s="78"/>
      <c r="AE46" s="78"/>
      <c r="AF46" s="78">
        <v>25</v>
      </c>
      <c r="AG46" s="72"/>
      <c r="AH46" s="78"/>
      <c r="AI46" s="78"/>
      <c r="AJ46" s="78"/>
      <c r="AK46" s="78"/>
      <c r="AL46" s="78"/>
      <c r="AM46" s="78"/>
      <c r="AN46" s="78"/>
      <c r="AO46" s="78">
        <f t="shared" si="2"/>
        <v>100</v>
      </c>
      <c r="AX46" s="75"/>
      <c r="AY46" s="75"/>
      <c r="AZ46" s="75"/>
    </row>
    <row r="47" spans="1:52" x14ac:dyDescent="0.3">
      <c r="A47" s="72" t="s">
        <v>66</v>
      </c>
      <c r="B47" s="72">
        <v>1</v>
      </c>
      <c r="C47" s="72"/>
      <c r="D47" s="72"/>
      <c r="E47" s="72"/>
      <c r="F47" s="72">
        <v>1</v>
      </c>
      <c r="G47" s="72"/>
      <c r="H47" s="72"/>
      <c r="I47" s="72"/>
      <c r="J47" s="72"/>
      <c r="K47" s="72"/>
      <c r="L47" s="72">
        <v>1</v>
      </c>
      <c r="M47" s="72"/>
      <c r="N47" s="72"/>
      <c r="O47" s="72"/>
      <c r="P47" s="72"/>
      <c r="Q47" s="72"/>
      <c r="R47" s="72">
        <v>1</v>
      </c>
      <c r="S47" s="72"/>
      <c r="T47" s="72"/>
      <c r="U47" s="72">
        <f t="shared" si="1"/>
        <v>4</v>
      </c>
      <c r="V47" s="72">
        <v>25</v>
      </c>
      <c r="W47" s="72"/>
      <c r="X47" s="72"/>
      <c r="Y47" s="72"/>
      <c r="Z47" s="72">
        <v>25</v>
      </c>
      <c r="AA47" s="78"/>
      <c r="AB47" s="78"/>
      <c r="AC47" s="78"/>
      <c r="AD47" s="78"/>
      <c r="AE47" s="78"/>
      <c r="AF47" s="78">
        <v>25</v>
      </c>
      <c r="AG47" s="72"/>
      <c r="AH47" s="78"/>
      <c r="AI47" s="78"/>
      <c r="AJ47" s="78"/>
      <c r="AK47" s="78"/>
      <c r="AL47" s="78">
        <v>25</v>
      </c>
      <c r="AM47" s="78"/>
      <c r="AN47" s="78"/>
      <c r="AO47" s="78">
        <f t="shared" si="2"/>
        <v>100</v>
      </c>
      <c r="AX47" s="75"/>
      <c r="AY47" s="75"/>
      <c r="AZ47" s="75"/>
    </row>
    <row r="48" spans="1:52" x14ac:dyDescent="0.3">
      <c r="A48" s="72">
        <v>237</v>
      </c>
      <c r="B48" s="72"/>
      <c r="C48" s="72"/>
      <c r="D48" s="72"/>
      <c r="E48" s="72"/>
      <c r="F48" s="72"/>
      <c r="G48" s="72">
        <v>1</v>
      </c>
      <c r="H48" s="72"/>
      <c r="I48" s="72"/>
      <c r="J48" s="72"/>
      <c r="K48" s="72"/>
      <c r="L48" s="72"/>
      <c r="M48" s="72">
        <v>1</v>
      </c>
      <c r="N48" s="72"/>
      <c r="O48" s="72"/>
      <c r="P48" s="72"/>
      <c r="Q48" s="72"/>
      <c r="R48" s="72"/>
      <c r="S48" s="72"/>
      <c r="T48" s="72"/>
      <c r="U48" s="72">
        <f t="shared" si="1"/>
        <v>2</v>
      </c>
      <c r="V48" s="72"/>
      <c r="W48" s="72"/>
      <c r="X48" s="72"/>
      <c r="Y48" s="72"/>
      <c r="Z48" s="72"/>
      <c r="AA48" s="78">
        <v>50</v>
      </c>
      <c r="AB48" s="78"/>
      <c r="AC48" s="78"/>
      <c r="AD48" s="78"/>
      <c r="AE48" s="78"/>
      <c r="AF48" s="78"/>
      <c r="AG48" s="72">
        <v>50</v>
      </c>
      <c r="AH48" s="78"/>
      <c r="AI48" s="78"/>
      <c r="AJ48" s="78"/>
      <c r="AK48" s="78"/>
      <c r="AL48" s="78"/>
      <c r="AM48" s="78"/>
      <c r="AN48" s="78"/>
      <c r="AO48" s="78">
        <f t="shared" si="2"/>
        <v>100</v>
      </c>
      <c r="AX48" s="75"/>
      <c r="AY48" s="75"/>
      <c r="AZ48" s="75"/>
    </row>
    <row r="49" spans="1:52" x14ac:dyDescent="0.3">
      <c r="A49" s="72">
        <v>231</v>
      </c>
      <c r="B49" s="72"/>
      <c r="C49" s="72"/>
      <c r="D49" s="72"/>
      <c r="E49" s="72">
        <v>1</v>
      </c>
      <c r="F49" s="72">
        <v>1</v>
      </c>
      <c r="G49" s="72"/>
      <c r="H49" s="72"/>
      <c r="I49" s="72"/>
      <c r="J49" s="72"/>
      <c r="K49" s="72"/>
      <c r="L49" s="72">
        <v>1</v>
      </c>
      <c r="M49" s="72"/>
      <c r="N49" s="72"/>
      <c r="O49" s="72"/>
      <c r="P49" s="72"/>
      <c r="Q49" s="72"/>
      <c r="R49" s="72"/>
      <c r="S49" s="72"/>
      <c r="T49" s="72"/>
      <c r="U49" s="72">
        <f t="shared" si="1"/>
        <v>3</v>
      </c>
      <c r="V49" s="72"/>
      <c r="W49" s="72"/>
      <c r="X49" s="72"/>
      <c r="Y49" s="72">
        <v>33.33</v>
      </c>
      <c r="Z49" s="72">
        <v>33.33</v>
      </c>
      <c r="AA49" s="78"/>
      <c r="AB49" s="78"/>
      <c r="AC49" s="78"/>
      <c r="AD49" s="78"/>
      <c r="AE49" s="78"/>
      <c r="AF49" s="78">
        <v>33.33</v>
      </c>
      <c r="AG49" s="72"/>
      <c r="AH49" s="78"/>
      <c r="AI49" s="78"/>
      <c r="AJ49" s="78"/>
      <c r="AK49" s="78"/>
      <c r="AL49" s="78"/>
      <c r="AM49" s="78"/>
      <c r="AN49" s="78"/>
      <c r="AO49" s="78">
        <f t="shared" si="2"/>
        <v>99.99</v>
      </c>
      <c r="AX49" s="75"/>
      <c r="AY49" s="75"/>
      <c r="AZ49" s="75"/>
    </row>
    <row r="50" spans="1:52" x14ac:dyDescent="0.3">
      <c r="A50" s="72">
        <v>245</v>
      </c>
      <c r="B50" s="72"/>
      <c r="C50" s="72"/>
      <c r="D50" s="72"/>
      <c r="E50" s="72">
        <v>1</v>
      </c>
      <c r="F50" s="72">
        <v>1</v>
      </c>
      <c r="G50" s="72">
        <v>1</v>
      </c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>
        <v>1</v>
      </c>
      <c r="S50" s="72"/>
      <c r="T50" s="72"/>
      <c r="U50" s="72">
        <f t="shared" si="1"/>
        <v>4</v>
      </c>
      <c r="V50" s="72"/>
      <c r="W50" s="72"/>
      <c r="X50" s="72"/>
      <c r="Y50" s="72">
        <v>25</v>
      </c>
      <c r="Z50" s="72">
        <v>25</v>
      </c>
      <c r="AA50" s="78">
        <v>25</v>
      </c>
      <c r="AB50" s="78"/>
      <c r="AC50" s="78"/>
      <c r="AD50" s="78"/>
      <c r="AE50" s="78"/>
      <c r="AF50" s="78"/>
      <c r="AG50" s="72"/>
      <c r="AH50" s="78"/>
      <c r="AI50" s="78"/>
      <c r="AJ50" s="78"/>
      <c r="AK50" s="78"/>
      <c r="AL50" s="78">
        <v>25</v>
      </c>
      <c r="AM50" s="78"/>
      <c r="AN50" s="78"/>
      <c r="AO50" s="78">
        <f t="shared" si="2"/>
        <v>100</v>
      </c>
      <c r="AX50" s="75"/>
      <c r="AY50" s="75"/>
      <c r="AZ50" s="75"/>
    </row>
    <row r="51" spans="1:52" x14ac:dyDescent="0.3">
      <c r="A51" s="72">
        <v>223</v>
      </c>
      <c r="B51" s="72"/>
      <c r="C51" s="72"/>
      <c r="D51" s="72"/>
      <c r="E51" s="72"/>
      <c r="F51" s="72"/>
      <c r="G51" s="72">
        <v>1</v>
      </c>
      <c r="H51" s="72"/>
      <c r="I51" s="72"/>
      <c r="J51" s="72"/>
      <c r="K51" s="72"/>
      <c r="L51" s="72"/>
      <c r="M51" s="72">
        <v>8</v>
      </c>
      <c r="N51" s="72"/>
      <c r="O51" s="72"/>
      <c r="P51" s="72"/>
      <c r="Q51" s="72"/>
      <c r="R51" s="72"/>
      <c r="S51" s="72"/>
      <c r="T51" s="72"/>
      <c r="U51" s="72">
        <f t="shared" si="1"/>
        <v>9</v>
      </c>
      <c r="V51" s="72"/>
      <c r="W51" s="72"/>
      <c r="X51" s="72"/>
      <c r="Y51" s="72"/>
      <c r="Z51" s="72"/>
      <c r="AA51" s="78">
        <v>11.11</v>
      </c>
      <c r="AB51" s="78"/>
      <c r="AC51" s="78"/>
      <c r="AD51" s="78"/>
      <c r="AE51" s="78"/>
      <c r="AF51" s="78"/>
      <c r="AG51" s="72">
        <v>88.89</v>
      </c>
      <c r="AH51" s="78"/>
      <c r="AI51" s="78"/>
      <c r="AJ51" s="78"/>
      <c r="AK51" s="78"/>
      <c r="AL51" s="78"/>
      <c r="AM51" s="78"/>
      <c r="AN51" s="78"/>
      <c r="AO51" s="78">
        <f t="shared" si="2"/>
        <v>100</v>
      </c>
      <c r="AX51" s="75"/>
      <c r="AY51" s="75"/>
      <c r="AZ51" s="75"/>
    </row>
    <row r="52" spans="1:52" x14ac:dyDescent="0.3">
      <c r="A52" s="72">
        <v>214</v>
      </c>
      <c r="B52" s="72"/>
      <c r="C52" s="72"/>
      <c r="D52" s="72"/>
      <c r="E52" s="72">
        <v>1</v>
      </c>
      <c r="F52" s="72">
        <v>1</v>
      </c>
      <c r="G52" s="72"/>
      <c r="H52" s="72"/>
      <c r="I52" s="72"/>
      <c r="J52" s="72"/>
      <c r="K52" s="72"/>
      <c r="L52" s="72"/>
      <c r="M52" s="72"/>
      <c r="N52" s="72">
        <v>1</v>
      </c>
      <c r="O52" s="72"/>
      <c r="P52" s="72"/>
      <c r="Q52" s="72"/>
      <c r="R52" s="72"/>
      <c r="S52" s="72"/>
      <c r="T52" s="72"/>
      <c r="U52" s="72">
        <f t="shared" si="1"/>
        <v>3</v>
      </c>
      <c r="V52" s="72"/>
      <c r="W52" s="72"/>
      <c r="X52" s="72"/>
      <c r="Y52" s="72">
        <v>33.33</v>
      </c>
      <c r="Z52" s="72">
        <v>33.33</v>
      </c>
      <c r="AA52" s="78"/>
      <c r="AB52" s="78"/>
      <c r="AC52" s="78"/>
      <c r="AD52" s="78"/>
      <c r="AE52" s="78"/>
      <c r="AF52" s="78"/>
      <c r="AG52" s="72"/>
      <c r="AH52" s="78">
        <v>33.33</v>
      </c>
      <c r="AI52" s="78"/>
      <c r="AJ52" s="78"/>
      <c r="AK52" s="78"/>
      <c r="AL52" s="78"/>
      <c r="AM52" s="78"/>
      <c r="AN52" s="78"/>
      <c r="AO52" s="78">
        <f t="shared" si="2"/>
        <v>99.99</v>
      </c>
      <c r="AX52" s="75"/>
      <c r="AY52" s="75"/>
      <c r="AZ52" s="75"/>
    </row>
    <row r="53" spans="1:52" x14ac:dyDescent="0.3">
      <c r="A53" s="72">
        <v>226</v>
      </c>
      <c r="B53" s="72"/>
      <c r="C53" s="72"/>
      <c r="D53" s="72"/>
      <c r="E53" s="72">
        <v>1</v>
      </c>
      <c r="F53" s="72">
        <v>1</v>
      </c>
      <c r="G53" s="72">
        <v>1</v>
      </c>
      <c r="H53" s="72"/>
      <c r="I53" s="72"/>
      <c r="J53" s="72"/>
      <c r="K53" s="72"/>
      <c r="L53" s="72"/>
      <c r="M53" s="72"/>
      <c r="N53" s="72">
        <v>1</v>
      </c>
      <c r="O53" s="72"/>
      <c r="P53" s="72"/>
      <c r="Q53" s="72"/>
      <c r="R53" s="72"/>
      <c r="S53" s="72"/>
      <c r="T53" s="72"/>
      <c r="U53" s="72">
        <f t="shared" si="1"/>
        <v>4</v>
      </c>
      <c r="V53" s="72"/>
      <c r="W53" s="72"/>
      <c r="X53" s="72"/>
      <c r="Y53" s="72">
        <v>25</v>
      </c>
      <c r="Z53" s="72">
        <v>25</v>
      </c>
      <c r="AA53" s="78">
        <v>25</v>
      </c>
      <c r="AB53" s="78"/>
      <c r="AC53" s="78"/>
      <c r="AD53" s="78"/>
      <c r="AE53" s="78"/>
      <c r="AF53" s="78"/>
      <c r="AG53" s="72"/>
      <c r="AH53" s="78">
        <v>25</v>
      </c>
      <c r="AI53" s="78"/>
      <c r="AJ53" s="78"/>
      <c r="AK53" s="78"/>
      <c r="AL53" s="78"/>
      <c r="AM53" s="78"/>
      <c r="AN53" s="78"/>
      <c r="AO53" s="78">
        <f t="shared" si="2"/>
        <v>100</v>
      </c>
      <c r="AX53" s="75"/>
      <c r="AY53" s="75"/>
      <c r="AZ53" s="75"/>
    </row>
    <row r="54" spans="1:52" x14ac:dyDescent="0.3">
      <c r="A54" s="72">
        <v>252</v>
      </c>
      <c r="B54" s="72"/>
      <c r="C54" s="72"/>
      <c r="D54" s="72"/>
      <c r="E54" s="72">
        <v>1</v>
      </c>
      <c r="F54" s="72">
        <v>1</v>
      </c>
      <c r="G54" s="72">
        <v>1</v>
      </c>
      <c r="H54" s="72"/>
      <c r="I54" s="72"/>
      <c r="J54" s="72"/>
      <c r="K54" s="72"/>
      <c r="L54" s="72"/>
      <c r="M54" s="72"/>
      <c r="N54" s="72">
        <v>1</v>
      </c>
      <c r="O54" s="72"/>
      <c r="P54" s="72"/>
      <c r="Q54" s="72"/>
      <c r="R54" s="72"/>
      <c r="S54" s="72"/>
      <c r="T54" s="72"/>
      <c r="U54" s="72">
        <f t="shared" si="1"/>
        <v>4</v>
      </c>
      <c r="V54" s="72"/>
      <c r="W54" s="72"/>
      <c r="X54" s="72"/>
      <c r="Y54" s="72">
        <v>25</v>
      </c>
      <c r="Z54" s="72">
        <v>25</v>
      </c>
      <c r="AA54" s="78">
        <v>25</v>
      </c>
      <c r="AB54" s="78"/>
      <c r="AC54" s="78"/>
      <c r="AD54" s="78"/>
      <c r="AE54" s="78"/>
      <c r="AF54" s="78"/>
      <c r="AG54" s="72"/>
      <c r="AH54" s="78">
        <v>25</v>
      </c>
      <c r="AI54" s="78"/>
      <c r="AJ54" s="78"/>
      <c r="AK54" s="78"/>
      <c r="AL54" s="78"/>
      <c r="AM54" s="78"/>
      <c r="AN54" s="78"/>
      <c r="AO54" s="78">
        <f t="shared" si="2"/>
        <v>100</v>
      </c>
      <c r="AX54" s="75"/>
      <c r="AY54" s="75"/>
      <c r="AZ54" s="75"/>
    </row>
    <row r="55" spans="1:52" x14ac:dyDescent="0.3">
      <c r="A55" s="72" t="s">
        <v>68</v>
      </c>
      <c r="B55" s="72"/>
      <c r="C55" s="72"/>
      <c r="D55" s="72"/>
      <c r="E55" s="72"/>
      <c r="F55" s="72"/>
      <c r="G55" s="72">
        <v>1</v>
      </c>
      <c r="H55" s="72"/>
      <c r="I55" s="72"/>
      <c r="J55" s="72"/>
      <c r="K55" s="72"/>
      <c r="L55" s="72">
        <v>1</v>
      </c>
      <c r="M55" s="72"/>
      <c r="N55" s="72"/>
      <c r="O55" s="72"/>
      <c r="P55" s="72"/>
      <c r="Q55" s="72"/>
      <c r="R55" s="72"/>
      <c r="S55" s="72"/>
      <c r="T55" s="72"/>
      <c r="U55" s="72">
        <f t="shared" si="1"/>
        <v>2</v>
      </c>
      <c r="V55" s="72"/>
      <c r="W55" s="72"/>
      <c r="X55" s="72"/>
      <c r="Y55" s="72"/>
      <c r="Z55" s="72"/>
      <c r="AA55" s="78">
        <v>50</v>
      </c>
      <c r="AB55" s="78"/>
      <c r="AC55" s="78"/>
      <c r="AD55" s="78"/>
      <c r="AE55" s="78"/>
      <c r="AF55" s="78">
        <v>50</v>
      </c>
      <c r="AG55" s="72"/>
      <c r="AH55" s="78"/>
      <c r="AI55" s="78"/>
      <c r="AJ55" s="78"/>
      <c r="AK55" s="78"/>
      <c r="AL55" s="78"/>
      <c r="AM55" s="78"/>
      <c r="AN55" s="78"/>
      <c r="AO55" s="78">
        <f t="shared" si="2"/>
        <v>100</v>
      </c>
      <c r="AX55" s="75"/>
      <c r="AY55" s="75"/>
      <c r="AZ55" s="75"/>
    </row>
    <row r="56" spans="1:52" x14ac:dyDescent="0.3">
      <c r="A56" s="72">
        <v>230</v>
      </c>
      <c r="B56" s="72">
        <v>1</v>
      </c>
      <c r="C56" s="72"/>
      <c r="D56" s="72"/>
      <c r="E56" s="72"/>
      <c r="F56" s="72">
        <v>2</v>
      </c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>
        <f t="shared" si="1"/>
        <v>3</v>
      </c>
      <c r="V56" s="72">
        <v>33.33</v>
      </c>
      <c r="W56" s="72"/>
      <c r="X56" s="72"/>
      <c r="Y56" s="72"/>
      <c r="Z56" s="72">
        <v>66.67</v>
      </c>
      <c r="AA56" s="78"/>
      <c r="AB56" s="78"/>
      <c r="AC56" s="78"/>
      <c r="AD56" s="78"/>
      <c r="AE56" s="78"/>
      <c r="AF56" s="78"/>
      <c r="AG56" s="72"/>
      <c r="AH56" s="78"/>
      <c r="AI56" s="78"/>
      <c r="AJ56" s="78"/>
      <c r="AK56" s="78"/>
      <c r="AL56" s="78"/>
      <c r="AM56" s="78"/>
      <c r="AN56" s="78"/>
      <c r="AO56" s="78">
        <f t="shared" si="2"/>
        <v>100</v>
      </c>
      <c r="AX56" s="75"/>
      <c r="AY56" s="75"/>
      <c r="AZ56" s="75"/>
    </row>
    <row r="57" spans="1:52" x14ac:dyDescent="0.3">
      <c r="A57" s="72">
        <v>248</v>
      </c>
      <c r="B57" s="72"/>
      <c r="C57" s="72">
        <v>1</v>
      </c>
      <c r="D57" s="72"/>
      <c r="E57" s="72"/>
      <c r="F57" s="72">
        <v>1</v>
      </c>
      <c r="G57" s="72"/>
      <c r="H57" s="72"/>
      <c r="I57" s="72"/>
      <c r="J57" s="72"/>
      <c r="K57" s="72"/>
      <c r="L57" s="72"/>
      <c r="M57" s="72"/>
      <c r="N57" s="72">
        <v>1</v>
      </c>
      <c r="O57" s="72"/>
      <c r="P57" s="72"/>
      <c r="Q57" s="72"/>
      <c r="R57" s="72">
        <v>2</v>
      </c>
      <c r="S57" s="72"/>
      <c r="T57" s="72"/>
      <c r="U57" s="72">
        <f t="shared" si="1"/>
        <v>5</v>
      </c>
      <c r="V57" s="72"/>
      <c r="W57" s="72">
        <v>20</v>
      </c>
      <c r="X57" s="72"/>
      <c r="Y57" s="72"/>
      <c r="Z57" s="72">
        <v>20</v>
      </c>
      <c r="AA57" s="78"/>
      <c r="AB57" s="78"/>
      <c r="AC57" s="78"/>
      <c r="AD57" s="78"/>
      <c r="AE57" s="78"/>
      <c r="AF57" s="78"/>
      <c r="AG57" s="72"/>
      <c r="AH57" s="78">
        <v>20</v>
      </c>
      <c r="AI57" s="78"/>
      <c r="AJ57" s="78"/>
      <c r="AK57" s="78"/>
      <c r="AL57" s="78">
        <v>40</v>
      </c>
      <c r="AM57" s="78"/>
      <c r="AN57" s="78"/>
      <c r="AO57" s="78">
        <f t="shared" si="2"/>
        <v>100</v>
      </c>
      <c r="AX57" s="75"/>
      <c r="AY57" s="75"/>
      <c r="AZ57" s="75"/>
    </row>
    <row r="58" spans="1:52" x14ac:dyDescent="0.3">
      <c r="A58" s="72">
        <v>233</v>
      </c>
      <c r="B58" s="72"/>
      <c r="C58" s="72"/>
      <c r="D58" s="72"/>
      <c r="E58" s="72"/>
      <c r="F58" s="72">
        <v>1</v>
      </c>
      <c r="G58" s="72">
        <v>1</v>
      </c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>
        <f t="shared" si="1"/>
        <v>2</v>
      </c>
      <c r="V58" s="72"/>
      <c r="W58" s="72"/>
      <c r="X58" s="72"/>
      <c r="Y58" s="72"/>
      <c r="Z58" s="72">
        <v>50</v>
      </c>
      <c r="AA58" s="78">
        <v>50</v>
      </c>
      <c r="AB58" s="78"/>
      <c r="AC58" s="78"/>
      <c r="AD58" s="78"/>
      <c r="AE58" s="78"/>
      <c r="AF58" s="78"/>
      <c r="AG58" s="72"/>
      <c r="AH58" s="78"/>
      <c r="AI58" s="78"/>
      <c r="AJ58" s="78"/>
      <c r="AK58" s="78"/>
      <c r="AL58" s="78"/>
      <c r="AM58" s="78"/>
      <c r="AN58" s="78"/>
      <c r="AO58" s="78">
        <f t="shared" si="2"/>
        <v>100</v>
      </c>
      <c r="AX58" s="75"/>
      <c r="AY58" s="75"/>
      <c r="AZ58" s="75"/>
    </row>
    <row r="59" spans="1:52" x14ac:dyDescent="0.3">
      <c r="A59" s="72">
        <v>215</v>
      </c>
      <c r="B59" s="72"/>
      <c r="C59" s="72"/>
      <c r="D59" s="72"/>
      <c r="E59" s="72">
        <v>1</v>
      </c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>
        <v>1</v>
      </c>
      <c r="U59" s="72">
        <f t="shared" si="1"/>
        <v>2</v>
      </c>
      <c r="V59" s="72"/>
      <c r="W59" s="72"/>
      <c r="X59" s="72"/>
      <c r="Y59" s="72">
        <v>50</v>
      </c>
      <c r="Z59" s="72"/>
      <c r="AA59" s="78"/>
      <c r="AB59" s="78"/>
      <c r="AC59" s="78"/>
      <c r="AD59" s="78"/>
      <c r="AE59" s="78"/>
      <c r="AF59" s="78"/>
      <c r="AG59" s="72"/>
      <c r="AH59" s="78"/>
      <c r="AI59" s="78"/>
      <c r="AJ59" s="78"/>
      <c r="AK59" s="78"/>
      <c r="AL59" s="78"/>
      <c r="AM59" s="78"/>
      <c r="AN59" s="78">
        <v>50</v>
      </c>
      <c r="AO59" s="78">
        <f t="shared" si="2"/>
        <v>100</v>
      </c>
      <c r="AX59" s="75"/>
      <c r="AY59" s="75"/>
      <c r="AZ59" s="75"/>
    </row>
    <row r="60" spans="1:52" x14ac:dyDescent="0.3">
      <c r="A60" s="72">
        <v>249</v>
      </c>
      <c r="B60" s="72"/>
      <c r="C60" s="72"/>
      <c r="D60" s="72"/>
      <c r="E60" s="72"/>
      <c r="F60" s="72">
        <v>1</v>
      </c>
      <c r="G60" s="72">
        <v>1</v>
      </c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>
        <f t="shared" si="1"/>
        <v>2</v>
      </c>
      <c r="V60" s="72"/>
      <c r="W60" s="72"/>
      <c r="X60" s="72"/>
      <c r="Y60" s="72"/>
      <c r="Z60" s="72">
        <v>50</v>
      </c>
      <c r="AA60" s="78">
        <v>50</v>
      </c>
      <c r="AB60" s="78"/>
      <c r="AC60" s="78"/>
      <c r="AD60" s="78"/>
      <c r="AE60" s="78"/>
      <c r="AF60" s="78"/>
      <c r="AG60" s="72"/>
      <c r="AH60" s="78"/>
      <c r="AI60" s="78"/>
      <c r="AJ60" s="78"/>
      <c r="AK60" s="78"/>
      <c r="AL60" s="78"/>
      <c r="AM60" s="78"/>
      <c r="AN60" s="78"/>
      <c r="AO60" s="78">
        <f t="shared" si="2"/>
        <v>100</v>
      </c>
      <c r="AX60" s="75"/>
      <c r="AY60" s="75"/>
      <c r="AZ60" s="75"/>
    </row>
    <row r="61" spans="1:52" x14ac:dyDescent="0.3">
      <c r="A61" s="72" t="s">
        <v>70</v>
      </c>
      <c r="B61" s="72">
        <v>1</v>
      </c>
      <c r="C61" s="72"/>
      <c r="D61" s="72"/>
      <c r="E61" s="72"/>
      <c r="F61" s="72">
        <v>1</v>
      </c>
      <c r="G61" s="72"/>
      <c r="H61" s="72"/>
      <c r="I61" s="72"/>
      <c r="J61" s="72"/>
      <c r="K61" s="72"/>
      <c r="L61" s="72"/>
      <c r="M61" s="72">
        <v>3</v>
      </c>
      <c r="N61" s="72">
        <v>1</v>
      </c>
      <c r="O61" s="72"/>
      <c r="P61" s="72"/>
      <c r="Q61" s="72"/>
      <c r="R61" s="72">
        <v>8</v>
      </c>
      <c r="S61" s="72"/>
      <c r="T61" s="72"/>
      <c r="U61" s="72">
        <f t="shared" si="1"/>
        <v>14</v>
      </c>
      <c r="V61" s="72">
        <v>7.14</v>
      </c>
      <c r="W61" s="72"/>
      <c r="X61" s="72"/>
      <c r="Y61" s="72"/>
      <c r="Z61" s="72">
        <v>7.14</v>
      </c>
      <c r="AA61" s="78"/>
      <c r="AB61" s="78"/>
      <c r="AC61" s="78"/>
      <c r="AD61" s="78"/>
      <c r="AE61" s="78"/>
      <c r="AF61" s="78"/>
      <c r="AG61" s="72">
        <v>21.42</v>
      </c>
      <c r="AH61" s="78">
        <v>7.14</v>
      </c>
      <c r="AI61" s="78"/>
      <c r="AJ61" s="78"/>
      <c r="AK61" s="78"/>
      <c r="AL61" s="78">
        <v>57.15</v>
      </c>
      <c r="AM61" s="78"/>
      <c r="AN61" s="78"/>
      <c r="AO61" s="78">
        <f t="shared" si="2"/>
        <v>99.990000000000009</v>
      </c>
      <c r="AR61" s="77"/>
      <c r="AX61" s="75"/>
      <c r="AY61" s="75"/>
      <c r="AZ61" s="75"/>
    </row>
    <row r="62" spans="1:52" x14ac:dyDescent="0.3">
      <c r="A62" s="72" t="s">
        <v>72</v>
      </c>
      <c r="B62" s="72"/>
      <c r="C62" s="72"/>
      <c r="D62" s="72"/>
      <c r="E62" s="72"/>
      <c r="F62" s="72"/>
      <c r="G62" s="72"/>
      <c r="H62" s="72"/>
      <c r="I62" s="72"/>
      <c r="J62" s="72"/>
      <c r="K62" s="72">
        <v>1</v>
      </c>
      <c r="L62" s="72">
        <v>1</v>
      </c>
      <c r="M62" s="72"/>
      <c r="N62" s="72"/>
      <c r="O62" s="72"/>
      <c r="P62" s="72"/>
      <c r="Q62" s="72">
        <v>3</v>
      </c>
      <c r="R62" s="72">
        <v>2</v>
      </c>
      <c r="S62" s="72">
        <v>2</v>
      </c>
      <c r="T62" s="72"/>
      <c r="U62" s="72">
        <f t="shared" si="1"/>
        <v>9</v>
      </c>
      <c r="V62" s="72"/>
      <c r="W62" s="72"/>
      <c r="X62" s="72"/>
      <c r="Y62" s="72"/>
      <c r="Z62" s="72"/>
      <c r="AA62" s="78"/>
      <c r="AB62" s="78"/>
      <c r="AC62" s="78"/>
      <c r="AD62" s="78"/>
      <c r="AE62" s="78">
        <v>11.11</v>
      </c>
      <c r="AF62" s="78">
        <v>11.11</v>
      </c>
      <c r="AG62" s="72"/>
      <c r="AH62" s="78"/>
      <c r="AI62" s="78"/>
      <c r="AJ62" s="78"/>
      <c r="AK62" s="78">
        <v>33.33</v>
      </c>
      <c r="AL62" s="78">
        <v>22.22</v>
      </c>
      <c r="AM62" s="78">
        <v>22.22</v>
      </c>
      <c r="AN62" s="78"/>
      <c r="AO62" s="78">
        <f t="shared" si="2"/>
        <v>99.99</v>
      </c>
      <c r="AR62" s="77"/>
      <c r="AX62" s="75"/>
      <c r="AY62" s="75"/>
      <c r="AZ62" s="75"/>
    </row>
    <row r="63" spans="1:52" x14ac:dyDescent="0.3">
      <c r="A63" s="72" t="s">
        <v>73</v>
      </c>
      <c r="B63" s="72">
        <v>1</v>
      </c>
      <c r="C63" s="72"/>
      <c r="D63" s="72"/>
      <c r="E63" s="72"/>
      <c r="F63" s="72"/>
      <c r="G63" s="72">
        <v>1</v>
      </c>
      <c r="H63" s="72">
        <v>1</v>
      </c>
      <c r="I63" s="72"/>
      <c r="J63" s="72"/>
      <c r="K63" s="72"/>
      <c r="L63" s="72"/>
      <c r="M63" s="72">
        <v>7</v>
      </c>
      <c r="N63" s="72"/>
      <c r="O63" s="72"/>
      <c r="P63" s="72"/>
      <c r="Q63" s="72"/>
      <c r="R63" s="72">
        <v>4</v>
      </c>
      <c r="S63" s="72"/>
      <c r="T63" s="72"/>
      <c r="U63" s="72">
        <f t="shared" si="1"/>
        <v>14</v>
      </c>
      <c r="V63" s="72">
        <v>7.14</v>
      </c>
      <c r="W63" s="72"/>
      <c r="X63" s="72"/>
      <c r="Y63" s="72"/>
      <c r="Z63" s="72"/>
      <c r="AA63" s="78">
        <v>7.14</v>
      </c>
      <c r="AB63" s="78">
        <v>7.14</v>
      </c>
      <c r="AC63" s="78"/>
      <c r="AD63" s="78"/>
      <c r="AE63" s="78"/>
      <c r="AF63" s="78"/>
      <c r="AG63" s="72">
        <v>50</v>
      </c>
      <c r="AH63" s="78"/>
      <c r="AI63" s="78"/>
      <c r="AJ63" s="78"/>
      <c r="AK63" s="78"/>
      <c r="AL63" s="78">
        <v>28.57</v>
      </c>
      <c r="AM63" s="78"/>
      <c r="AN63" s="78"/>
      <c r="AO63" s="78">
        <f t="shared" si="2"/>
        <v>99.990000000000009</v>
      </c>
      <c r="AR63" s="77"/>
      <c r="AX63" s="75"/>
      <c r="AY63" s="75"/>
      <c r="AZ63" s="75"/>
    </row>
    <row r="64" spans="1:52" x14ac:dyDescent="0.3">
      <c r="A64" s="72">
        <v>244</v>
      </c>
      <c r="B64" s="72"/>
      <c r="C64" s="72"/>
      <c r="D64" s="72"/>
      <c r="E64" s="72"/>
      <c r="F64" s="72"/>
      <c r="G64" s="72">
        <v>1</v>
      </c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>
        <v>3</v>
      </c>
      <c r="S64" s="72"/>
      <c r="T64" s="72"/>
      <c r="U64" s="72">
        <f t="shared" si="1"/>
        <v>4</v>
      </c>
      <c r="V64" s="72"/>
      <c r="W64" s="72"/>
      <c r="X64" s="72"/>
      <c r="Y64" s="72"/>
      <c r="Z64" s="72"/>
      <c r="AA64" s="78">
        <v>25</v>
      </c>
      <c r="AB64" s="78"/>
      <c r="AC64" s="78"/>
      <c r="AD64" s="78"/>
      <c r="AE64" s="78"/>
      <c r="AF64" s="78"/>
      <c r="AG64" s="72"/>
      <c r="AH64" s="78"/>
      <c r="AI64" s="78"/>
      <c r="AJ64" s="78"/>
      <c r="AK64" s="78"/>
      <c r="AL64" s="78">
        <v>75</v>
      </c>
      <c r="AM64" s="78"/>
      <c r="AN64" s="78"/>
      <c r="AO64" s="78">
        <f t="shared" si="2"/>
        <v>100</v>
      </c>
      <c r="AR64" s="77"/>
      <c r="AX64" s="75"/>
      <c r="AY64" s="75"/>
      <c r="AZ64" s="75"/>
    </row>
    <row r="65" spans="1:52" x14ac:dyDescent="0.3">
      <c r="A65" s="72" t="s">
        <v>74</v>
      </c>
      <c r="B65" s="72"/>
      <c r="C65" s="72">
        <v>1</v>
      </c>
      <c r="D65" s="72"/>
      <c r="E65" s="72"/>
      <c r="F65" s="72">
        <v>1</v>
      </c>
      <c r="G65" s="72"/>
      <c r="H65" s="72"/>
      <c r="I65" s="72"/>
      <c r="J65" s="72"/>
      <c r="K65" s="72"/>
      <c r="L65" s="72">
        <v>1</v>
      </c>
      <c r="M65" s="72"/>
      <c r="N65" s="72"/>
      <c r="O65" s="72"/>
      <c r="P65" s="72"/>
      <c r="Q65" s="72"/>
      <c r="R65" s="72">
        <v>1</v>
      </c>
      <c r="S65" s="72"/>
      <c r="T65" s="72"/>
      <c r="U65" s="72">
        <f t="shared" si="1"/>
        <v>4</v>
      </c>
      <c r="V65" s="72"/>
      <c r="W65" s="72">
        <v>25</v>
      </c>
      <c r="X65" s="72"/>
      <c r="Y65" s="72"/>
      <c r="Z65" s="72">
        <v>25</v>
      </c>
      <c r="AA65" s="78"/>
      <c r="AB65" s="78"/>
      <c r="AC65" s="78"/>
      <c r="AD65" s="78"/>
      <c r="AE65" s="78"/>
      <c r="AF65" s="78">
        <v>25</v>
      </c>
      <c r="AG65" s="72"/>
      <c r="AH65" s="78"/>
      <c r="AI65" s="78"/>
      <c r="AJ65" s="78"/>
      <c r="AK65" s="78"/>
      <c r="AL65" s="78">
        <v>25</v>
      </c>
      <c r="AM65" s="78"/>
      <c r="AN65" s="78"/>
      <c r="AO65" s="78">
        <f t="shared" si="2"/>
        <v>100</v>
      </c>
      <c r="AR65" s="77"/>
      <c r="AX65" s="75"/>
      <c r="AY65" s="75"/>
      <c r="AZ65" s="75"/>
    </row>
    <row r="66" spans="1:52" x14ac:dyDescent="0.3">
      <c r="A66" s="72" t="s">
        <v>75</v>
      </c>
      <c r="B66" s="72"/>
      <c r="C66" s="72"/>
      <c r="D66" s="72"/>
      <c r="E66" s="72"/>
      <c r="F66" s="72"/>
      <c r="G66" s="72">
        <v>1</v>
      </c>
      <c r="H66" s="72"/>
      <c r="I66" s="72"/>
      <c r="J66" s="72"/>
      <c r="K66" s="72"/>
      <c r="L66" s="72"/>
      <c r="M66" s="72">
        <v>5</v>
      </c>
      <c r="N66" s="72"/>
      <c r="O66" s="72"/>
      <c r="P66" s="72"/>
      <c r="Q66" s="72"/>
      <c r="R66" s="72"/>
      <c r="S66" s="72"/>
      <c r="T66" s="72"/>
      <c r="U66" s="72">
        <f t="shared" si="1"/>
        <v>6</v>
      </c>
      <c r="V66" s="72"/>
      <c r="W66" s="72"/>
      <c r="X66" s="72"/>
      <c r="Y66" s="72"/>
      <c r="Z66" s="72"/>
      <c r="AA66" s="78">
        <v>16.670000000000002</v>
      </c>
      <c r="AB66" s="78"/>
      <c r="AC66" s="78"/>
      <c r="AD66" s="78"/>
      <c r="AE66" s="78"/>
      <c r="AF66" s="78"/>
      <c r="AG66" s="72">
        <v>83.33</v>
      </c>
      <c r="AH66" s="78"/>
      <c r="AI66" s="78"/>
      <c r="AJ66" s="78"/>
      <c r="AK66" s="78"/>
      <c r="AL66" s="78"/>
      <c r="AM66" s="78"/>
      <c r="AN66" s="78"/>
      <c r="AO66" s="78">
        <f t="shared" ref="AO66:AO79" si="3">SUM(V66:AN66)</f>
        <v>100</v>
      </c>
      <c r="AR66" s="77"/>
      <c r="AX66" s="75"/>
      <c r="AY66" s="75"/>
      <c r="AZ66" s="75"/>
    </row>
    <row r="67" spans="1:52" x14ac:dyDescent="0.3">
      <c r="A67" s="72">
        <v>228</v>
      </c>
      <c r="B67" s="72"/>
      <c r="C67" s="72"/>
      <c r="D67" s="72"/>
      <c r="E67" s="72">
        <v>1</v>
      </c>
      <c r="F67" s="72">
        <v>1</v>
      </c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>
        <f t="shared" ref="U67:U79" si="4">SUM(B67:T67)</f>
        <v>2</v>
      </c>
      <c r="V67" s="72"/>
      <c r="W67" s="72"/>
      <c r="X67" s="72"/>
      <c r="Y67" s="72">
        <v>50</v>
      </c>
      <c r="Z67" s="72">
        <v>50</v>
      </c>
      <c r="AA67" s="78"/>
      <c r="AB67" s="78"/>
      <c r="AC67" s="78"/>
      <c r="AD67" s="78"/>
      <c r="AE67" s="78"/>
      <c r="AF67" s="78"/>
      <c r="AG67" s="72"/>
      <c r="AH67" s="78"/>
      <c r="AI67" s="78"/>
      <c r="AJ67" s="78"/>
      <c r="AK67" s="78"/>
      <c r="AL67" s="78"/>
      <c r="AM67" s="78"/>
      <c r="AN67" s="78"/>
      <c r="AO67" s="78">
        <f t="shared" si="3"/>
        <v>100</v>
      </c>
      <c r="AR67" s="77"/>
      <c r="AX67" s="75"/>
      <c r="AY67" s="75"/>
      <c r="AZ67" s="75"/>
    </row>
    <row r="68" spans="1:52" x14ac:dyDescent="0.3">
      <c r="A68" s="72" t="s">
        <v>76</v>
      </c>
      <c r="B68" s="72"/>
      <c r="C68" s="72"/>
      <c r="D68" s="72"/>
      <c r="E68" s="72">
        <v>1</v>
      </c>
      <c r="F68" s="72">
        <v>1</v>
      </c>
      <c r="G68" s="72">
        <v>1</v>
      </c>
      <c r="H68" s="72"/>
      <c r="I68" s="72"/>
      <c r="J68" s="72"/>
      <c r="K68" s="72"/>
      <c r="L68" s="72"/>
      <c r="M68" s="72">
        <v>6</v>
      </c>
      <c r="N68" s="72">
        <v>1</v>
      </c>
      <c r="O68" s="72"/>
      <c r="P68" s="72"/>
      <c r="Q68" s="72"/>
      <c r="R68" s="72">
        <v>3</v>
      </c>
      <c r="S68" s="72"/>
      <c r="T68" s="72"/>
      <c r="U68" s="72">
        <f t="shared" si="4"/>
        <v>13</v>
      </c>
      <c r="V68" s="72"/>
      <c r="W68" s="72"/>
      <c r="X68" s="72"/>
      <c r="Y68" s="72">
        <v>7.69</v>
      </c>
      <c r="Z68" s="72">
        <v>7.69</v>
      </c>
      <c r="AA68" s="72">
        <v>7.69</v>
      </c>
      <c r="AB68" s="78"/>
      <c r="AC68" s="78"/>
      <c r="AD68" s="78"/>
      <c r="AE68" s="78"/>
      <c r="AF68" s="78"/>
      <c r="AG68" s="72">
        <v>46.16</v>
      </c>
      <c r="AH68" s="78">
        <v>7.69</v>
      </c>
      <c r="AI68" s="78"/>
      <c r="AJ68" s="78"/>
      <c r="AK68" s="78"/>
      <c r="AL68" s="78">
        <v>23.08</v>
      </c>
      <c r="AM68" s="78"/>
      <c r="AN68" s="78"/>
      <c r="AO68" s="78">
        <f t="shared" si="3"/>
        <v>99.999999999999986</v>
      </c>
      <c r="AR68" s="77"/>
      <c r="AX68" s="75"/>
      <c r="AY68" s="75"/>
      <c r="AZ68" s="75"/>
    </row>
    <row r="69" spans="1:52" x14ac:dyDescent="0.3">
      <c r="A69" s="72" t="s">
        <v>77</v>
      </c>
      <c r="B69" s="72"/>
      <c r="C69" s="72"/>
      <c r="D69" s="72"/>
      <c r="E69" s="72"/>
      <c r="F69" s="72"/>
      <c r="G69" s="72">
        <v>1</v>
      </c>
      <c r="H69" s="72">
        <v>1</v>
      </c>
      <c r="I69" s="72"/>
      <c r="J69" s="72"/>
      <c r="K69" s="72"/>
      <c r="L69" s="72"/>
      <c r="M69" s="72"/>
      <c r="N69" s="72">
        <v>1</v>
      </c>
      <c r="O69" s="72"/>
      <c r="P69" s="72"/>
      <c r="Q69" s="72"/>
      <c r="R69" s="72"/>
      <c r="S69" s="72"/>
      <c r="T69" s="72"/>
      <c r="U69" s="72">
        <f t="shared" si="4"/>
        <v>3</v>
      </c>
      <c r="V69" s="72"/>
      <c r="W69" s="72"/>
      <c r="X69" s="72"/>
      <c r="Y69" s="72"/>
      <c r="Z69" s="72"/>
      <c r="AA69" s="78">
        <v>33.33</v>
      </c>
      <c r="AB69" s="78">
        <v>33.33</v>
      </c>
      <c r="AC69" s="78"/>
      <c r="AD69" s="78"/>
      <c r="AE69" s="78"/>
      <c r="AF69" s="78"/>
      <c r="AG69" s="72"/>
      <c r="AH69" s="78">
        <v>33.33</v>
      </c>
      <c r="AI69" s="78"/>
      <c r="AJ69" s="78"/>
      <c r="AK69" s="78"/>
      <c r="AL69" s="78"/>
      <c r="AM69" s="78"/>
      <c r="AN69" s="78"/>
      <c r="AO69" s="78">
        <f t="shared" si="3"/>
        <v>99.99</v>
      </c>
      <c r="AR69" s="77"/>
      <c r="AX69" s="75"/>
      <c r="AY69" s="75"/>
      <c r="AZ69" s="75"/>
    </row>
    <row r="70" spans="1:52" x14ac:dyDescent="0.3">
      <c r="A70" s="72" t="s">
        <v>78</v>
      </c>
      <c r="B70" s="72"/>
      <c r="C70" s="72"/>
      <c r="D70" s="72"/>
      <c r="E70" s="72"/>
      <c r="F70" s="72"/>
      <c r="G70" s="72"/>
      <c r="H70" s="72">
        <v>1</v>
      </c>
      <c r="I70" s="72"/>
      <c r="J70" s="72"/>
      <c r="K70" s="72"/>
      <c r="L70" s="72"/>
      <c r="M70" s="72"/>
      <c r="N70" s="72">
        <v>1</v>
      </c>
      <c r="O70" s="72"/>
      <c r="P70" s="72"/>
      <c r="Q70" s="72"/>
      <c r="R70" s="72"/>
      <c r="S70" s="72"/>
      <c r="T70" s="72"/>
      <c r="U70" s="72">
        <f t="shared" si="4"/>
        <v>2</v>
      </c>
      <c r="V70" s="72"/>
      <c r="W70" s="72"/>
      <c r="X70" s="72"/>
      <c r="Y70" s="72"/>
      <c r="Z70" s="72"/>
      <c r="AA70" s="78"/>
      <c r="AB70" s="78">
        <v>50</v>
      </c>
      <c r="AC70" s="78"/>
      <c r="AD70" s="78"/>
      <c r="AE70" s="78"/>
      <c r="AF70" s="78"/>
      <c r="AG70" s="72"/>
      <c r="AH70" s="78">
        <v>50</v>
      </c>
      <c r="AI70" s="78"/>
      <c r="AJ70" s="78"/>
      <c r="AK70" s="78"/>
      <c r="AL70" s="78"/>
      <c r="AM70" s="78"/>
      <c r="AN70" s="78"/>
      <c r="AO70" s="78">
        <f t="shared" si="3"/>
        <v>100</v>
      </c>
      <c r="AR70" s="77"/>
      <c r="AX70" s="75"/>
      <c r="AY70" s="75"/>
      <c r="AZ70" s="75"/>
    </row>
    <row r="71" spans="1:52" x14ac:dyDescent="0.3">
      <c r="A71" s="72">
        <v>217</v>
      </c>
      <c r="B71" s="72"/>
      <c r="C71" s="72"/>
      <c r="D71" s="72"/>
      <c r="E71" s="72"/>
      <c r="F71" s="72">
        <v>2</v>
      </c>
      <c r="G71" s="72">
        <v>1</v>
      </c>
      <c r="H71" s="72">
        <v>1</v>
      </c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>
        <f t="shared" si="4"/>
        <v>4</v>
      </c>
      <c r="V71" s="72"/>
      <c r="W71" s="72"/>
      <c r="X71" s="72"/>
      <c r="Y71" s="72"/>
      <c r="Z71" s="72">
        <v>50</v>
      </c>
      <c r="AA71" s="78">
        <v>25</v>
      </c>
      <c r="AB71" s="78">
        <v>25</v>
      </c>
      <c r="AC71" s="78"/>
      <c r="AD71" s="78"/>
      <c r="AE71" s="78"/>
      <c r="AF71" s="78"/>
      <c r="AG71" s="72"/>
      <c r="AH71" s="78"/>
      <c r="AI71" s="78"/>
      <c r="AJ71" s="78"/>
      <c r="AK71" s="78"/>
      <c r="AL71" s="78"/>
      <c r="AM71" s="78"/>
      <c r="AN71" s="78"/>
      <c r="AO71" s="78">
        <f t="shared" si="3"/>
        <v>100</v>
      </c>
      <c r="AR71" s="77"/>
      <c r="AX71" s="75"/>
      <c r="AY71" s="75"/>
      <c r="AZ71" s="75"/>
    </row>
    <row r="72" spans="1:52" x14ac:dyDescent="0.3">
      <c r="A72" s="72" t="s">
        <v>80</v>
      </c>
      <c r="B72" s="72"/>
      <c r="C72" s="72">
        <v>1</v>
      </c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>
        <v>1</v>
      </c>
      <c r="O72" s="72"/>
      <c r="P72" s="72"/>
      <c r="Q72" s="72"/>
      <c r="R72" s="72"/>
      <c r="S72" s="72"/>
      <c r="T72" s="72"/>
      <c r="U72" s="72">
        <f t="shared" si="4"/>
        <v>2</v>
      </c>
      <c r="V72" s="72"/>
      <c r="W72" s="72">
        <v>50</v>
      </c>
      <c r="X72" s="72"/>
      <c r="Y72" s="72"/>
      <c r="Z72" s="72"/>
      <c r="AA72" s="78"/>
      <c r="AB72" s="78"/>
      <c r="AC72" s="78"/>
      <c r="AD72" s="78"/>
      <c r="AE72" s="78"/>
      <c r="AF72" s="78"/>
      <c r="AG72" s="72"/>
      <c r="AH72" s="78">
        <v>50</v>
      </c>
      <c r="AI72" s="78"/>
      <c r="AJ72" s="78"/>
      <c r="AK72" s="78"/>
      <c r="AL72" s="78"/>
      <c r="AM72" s="78"/>
      <c r="AN72" s="78"/>
      <c r="AO72" s="78">
        <f t="shared" si="3"/>
        <v>100</v>
      </c>
      <c r="AR72" s="77"/>
      <c r="AX72" s="75"/>
      <c r="AY72" s="75"/>
      <c r="AZ72" s="75"/>
    </row>
    <row r="73" spans="1:52" x14ac:dyDescent="0.3">
      <c r="A73" s="72" t="s">
        <v>81</v>
      </c>
      <c r="B73" s="72"/>
      <c r="C73" s="72">
        <v>1</v>
      </c>
      <c r="D73" s="72"/>
      <c r="E73" s="72"/>
      <c r="F73" s="72">
        <v>1</v>
      </c>
      <c r="G73" s="72"/>
      <c r="H73" s="72"/>
      <c r="I73" s="72">
        <v>1</v>
      </c>
      <c r="J73" s="72"/>
      <c r="K73" s="72"/>
      <c r="L73" s="72"/>
      <c r="M73" s="72"/>
      <c r="N73" s="72">
        <v>1</v>
      </c>
      <c r="O73" s="72"/>
      <c r="P73" s="72"/>
      <c r="Q73" s="72"/>
      <c r="R73" s="72">
        <v>2</v>
      </c>
      <c r="S73" s="72"/>
      <c r="T73" s="72"/>
      <c r="U73" s="72">
        <f t="shared" si="4"/>
        <v>6</v>
      </c>
      <c r="V73" s="72"/>
      <c r="W73" s="72">
        <v>16.66</v>
      </c>
      <c r="X73" s="72"/>
      <c r="Y73" s="72"/>
      <c r="Z73" s="72">
        <v>16.670000000000002</v>
      </c>
      <c r="AA73" s="78"/>
      <c r="AB73" s="78"/>
      <c r="AC73" s="72">
        <v>16.670000000000002</v>
      </c>
      <c r="AD73" s="78"/>
      <c r="AE73" s="78"/>
      <c r="AF73" s="78"/>
      <c r="AG73" s="72"/>
      <c r="AH73" s="72">
        <v>16.670000000000002</v>
      </c>
      <c r="AI73" s="78"/>
      <c r="AJ73" s="78"/>
      <c r="AK73" s="78"/>
      <c r="AL73" s="78">
        <v>33.33</v>
      </c>
      <c r="AM73" s="78"/>
      <c r="AN73" s="78"/>
      <c r="AO73" s="78">
        <f t="shared" si="3"/>
        <v>100</v>
      </c>
      <c r="AR73" s="77"/>
      <c r="AX73" s="75"/>
      <c r="AY73" s="75"/>
      <c r="AZ73" s="75"/>
    </row>
    <row r="74" spans="1:52" x14ac:dyDescent="0.3">
      <c r="A74" s="72">
        <v>352</v>
      </c>
      <c r="B74" s="72"/>
      <c r="C74" s="72"/>
      <c r="D74" s="72">
        <v>1</v>
      </c>
      <c r="E74" s="72"/>
      <c r="F74" s="72"/>
      <c r="G74" s="72"/>
      <c r="H74" s="72"/>
      <c r="I74" s="72"/>
      <c r="J74" s="72"/>
      <c r="K74" s="72"/>
      <c r="L74" s="72"/>
      <c r="M74" s="72">
        <v>1</v>
      </c>
      <c r="N74" s="72">
        <v>1</v>
      </c>
      <c r="O74" s="72"/>
      <c r="P74" s="72">
        <v>1</v>
      </c>
      <c r="Q74" s="72"/>
      <c r="R74" s="72"/>
      <c r="S74" s="72"/>
      <c r="T74" s="72"/>
      <c r="U74" s="72">
        <f t="shared" si="4"/>
        <v>4</v>
      </c>
      <c r="V74" s="72"/>
      <c r="W74" s="72"/>
      <c r="X74" s="72">
        <v>25</v>
      </c>
      <c r="Y74" s="72"/>
      <c r="Z74" s="72"/>
      <c r="AA74" s="78"/>
      <c r="AB74" s="78"/>
      <c r="AC74" s="78"/>
      <c r="AD74" s="78"/>
      <c r="AE74" s="78"/>
      <c r="AF74" s="78"/>
      <c r="AG74" s="72">
        <v>25</v>
      </c>
      <c r="AH74" s="78">
        <v>25</v>
      </c>
      <c r="AI74" s="78"/>
      <c r="AJ74" s="78">
        <v>25</v>
      </c>
      <c r="AK74" s="78"/>
      <c r="AL74" s="78"/>
      <c r="AM74" s="78"/>
      <c r="AN74" s="78"/>
      <c r="AO74" s="78">
        <f t="shared" si="3"/>
        <v>100</v>
      </c>
      <c r="AR74" s="77"/>
      <c r="AX74" s="75"/>
      <c r="AY74" s="75"/>
      <c r="AZ74" s="75"/>
    </row>
    <row r="75" spans="1:52" x14ac:dyDescent="0.3">
      <c r="A75" s="72">
        <v>332</v>
      </c>
      <c r="B75" s="72"/>
      <c r="C75" s="72"/>
      <c r="D75" s="72">
        <v>1</v>
      </c>
      <c r="E75" s="72"/>
      <c r="F75" s="72"/>
      <c r="G75" s="72"/>
      <c r="H75" s="72"/>
      <c r="I75" s="72"/>
      <c r="J75" s="72"/>
      <c r="K75" s="72"/>
      <c r="L75" s="72">
        <v>1</v>
      </c>
      <c r="M75" s="72"/>
      <c r="N75" s="72"/>
      <c r="O75" s="72"/>
      <c r="P75" s="72"/>
      <c r="Q75" s="72"/>
      <c r="R75" s="72"/>
      <c r="S75" s="72"/>
      <c r="T75" s="72"/>
      <c r="U75" s="72">
        <f t="shared" si="4"/>
        <v>2</v>
      </c>
      <c r="V75" s="72"/>
      <c r="W75" s="72"/>
      <c r="X75" s="72">
        <v>50</v>
      </c>
      <c r="Y75" s="72"/>
      <c r="Z75" s="72"/>
      <c r="AA75" s="78"/>
      <c r="AB75" s="78"/>
      <c r="AC75" s="78"/>
      <c r="AD75" s="78"/>
      <c r="AE75" s="78"/>
      <c r="AF75" s="78">
        <v>50</v>
      </c>
      <c r="AG75" s="72"/>
      <c r="AH75" s="78"/>
      <c r="AI75" s="78"/>
      <c r="AJ75" s="78"/>
      <c r="AK75" s="78"/>
      <c r="AL75" s="78"/>
      <c r="AM75" s="78"/>
      <c r="AN75" s="78"/>
      <c r="AO75" s="78">
        <f t="shared" si="3"/>
        <v>100</v>
      </c>
      <c r="AR75" s="77"/>
      <c r="AX75" s="75"/>
      <c r="AY75" s="75"/>
      <c r="AZ75" s="75"/>
    </row>
    <row r="76" spans="1:52" x14ac:dyDescent="0.3">
      <c r="A76" s="72">
        <v>339</v>
      </c>
      <c r="B76" s="72"/>
      <c r="C76" s="72"/>
      <c r="D76" s="72">
        <v>1</v>
      </c>
      <c r="E76" s="72"/>
      <c r="F76" s="72">
        <v>1</v>
      </c>
      <c r="G76" s="72"/>
      <c r="H76" s="72"/>
      <c r="I76" s="72"/>
      <c r="J76" s="72"/>
      <c r="K76" s="72"/>
      <c r="L76" s="72">
        <v>1</v>
      </c>
      <c r="M76" s="72"/>
      <c r="N76" s="72"/>
      <c r="O76" s="72"/>
      <c r="P76" s="72"/>
      <c r="Q76" s="72"/>
      <c r="R76" s="72"/>
      <c r="S76" s="72"/>
      <c r="T76" s="72"/>
      <c r="U76" s="72">
        <f t="shared" si="4"/>
        <v>3</v>
      </c>
      <c r="V76" s="72"/>
      <c r="W76" s="72"/>
      <c r="X76" s="72">
        <v>33.33</v>
      </c>
      <c r="Y76" s="72"/>
      <c r="Z76" s="72">
        <v>33.33</v>
      </c>
      <c r="AA76" s="78"/>
      <c r="AB76" s="78"/>
      <c r="AC76" s="78"/>
      <c r="AD76" s="78"/>
      <c r="AE76" s="78"/>
      <c r="AF76" s="78">
        <v>33.33</v>
      </c>
      <c r="AG76" s="72"/>
      <c r="AH76" s="78"/>
      <c r="AI76" s="78"/>
      <c r="AJ76" s="78"/>
      <c r="AK76" s="78"/>
      <c r="AL76" s="78"/>
      <c r="AM76" s="78"/>
      <c r="AN76" s="78"/>
      <c r="AO76" s="78">
        <f t="shared" si="3"/>
        <v>99.99</v>
      </c>
      <c r="AR76" s="77"/>
      <c r="AX76" s="75"/>
      <c r="AY76" s="75"/>
      <c r="AZ76" s="75"/>
    </row>
    <row r="77" spans="1:52" x14ac:dyDescent="0.3">
      <c r="A77" s="72">
        <v>347</v>
      </c>
      <c r="B77" s="72"/>
      <c r="C77" s="72"/>
      <c r="D77" s="72">
        <v>1</v>
      </c>
      <c r="E77" s="72"/>
      <c r="F77" s="72"/>
      <c r="G77" s="72"/>
      <c r="H77" s="72"/>
      <c r="I77" s="72"/>
      <c r="J77" s="72"/>
      <c r="K77" s="72"/>
      <c r="L77" s="72"/>
      <c r="M77" s="72">
        <v>3</v>
      </c>
      <c r="N77" s="72"/>
      <c r="O77" s="72"/>
      <c r="P77" s="72"/>
      <c r="Q77" s="72"/>
      <c r="R77" s="72"/>
      <c r="S77" s="72"/>
      <c r="T77" s="72"/>
      <c r="U77" s="72">
        <f t="shared" si="4"/>
        <v>4</v>
      </c>
      <c r="V77" s="72"/>
      <c r="W77" s="72"/>
      <c r="X77" s="72">
        <v>25</v>
      </c>
      <c r="Y77" s="72"/>
      <c r="Z77" s="72"/>
      <c r="AA77" s="78"/>
      <c r="AB77" s="78"/>
      <c r="AC77" s="78"/>
      <c r="AD77" s="78"/>
      <c r="AE77" s="78"/>
      <c r="AF77" s="78"/>
      <c r="AG77" s="72">
        <v>75</v>
      </c>
      <c r="AH77" s="78"/>
      <c r="AI77" s="78"/>
      <c r="AJ77" s="78"/>
      <c r="AK77" s="78"/>
      <c r="AL77" s="78"/>
      <c r="AM77" s="78"/>
      <c r="AN77" s="78"/>
      <c r="AO77" s="78">
        <f t="shared" si="3"/>
        <v>100</v>
      </c>
      <c r="AR77" s="77"/>
    </row>
    <row r="78" spans="1:52" x14ac:dyDescent="0.3">
      <c r="A78" s="72">
        <v>346</v>
      </c>
      <c r="B78" s="72"/>
      <c r="C78" s="72"/>
      <c r="D78" s="72">
        <v>1</v>
      </c>
      <c r="E78" s="72"/>
      <c r="F78" s="72"/>
      <c r="G78" s="72"/>
      <c r="H78" s="72"/>
      <c r="I78" s="72"/>
      <c r="J78" s="72"/>
      <c r="K78" s="72"/>
      <c r="L78" s="72"/>
      <c r="M78" s="72"/>
      <c r="N78" s="72">
        <v>1</v>
      </c>
      <c r="O78" s="72"/>
      <c r="P78" s="72"/>
      <c r="Q78" s="72"/>
      <c r="R78" s="72"/>
      <c r="S78" s="72"/>
      <c r="T78" s="72"/>
      <c r="U78" s="72">
        <f t="shared" si="4"/>
        <v>2</v>
      </c>
      <c r="V78" s="72"/>
      <c r="W78" s="72"/>
      <c r="X78" s="72">
        <v>50</v>
      </c>
      <c r="Y78" s="72"/>
      <c r="Z78" s="72"/>
      <c r="AA78" s="78"/>
      <c r="AB78" s="78"/>
      <c r="AC78" s="78"/>
      <c r="AD78" s="78"/>
      <c r="AE78" s="78"/>
      <c r="AF78" s="78"/>
      <c r="AG78" s="72"/>
      <c r="AH78" s="78">
        <v>50</v>
      </c>
      <c r="AI78" s="78"/>
      <c r="AJ78" s="78"/>
      <c r="AK78" s="78"/>
      <c r="AL78" s="78"/>
      <c r="AM78" s="78"/>
      <c r="AN78" s="78"/>
      <c r="AO78" s="78">
        <f t="shared" si="3"/>
        <v>100</v>
      </c>
      <c r="AR78" s="77"/>
    </row>
    <row r="79" spans="1:52" x14ac:dyDescent="0.3">
      <c r="A79" s="72">
        <v>353</v>
      </c>
      <c r="B79" s="72"/>
      <c r="C79" s="72"/>
      <c r="D79" s="72"/>
      <c r="E79" s="72">
        <v>1</v>
      </c>
      <c r="F79" s="72">
        <v>3</v>
      </c>
      <c r="G79" s="72"/>
      <c r="H79" s="72"/>
      <c r="I79" s="72"/>
      <c r="J79" s="72"/>
      <c r="K79" s="72"/>
      <c r="L79" s="72">
        <v>1</v>
      </c>
      <c r="M79" s="72"/>
      <c r="N79" s="72"/>
      <c r="O79" s="72"/>
      <c r="P79" s="72"/>
      <c r="Q79" s="72"/>
      <c r="R79" s="72">
        <v>9</v>
      </c>
      <c r="S79" s="72"/>
      <c r="T79" s="72"/>
      <c r="U79" s="72">
        <f t="shared" si="4"/>
        <v>14</v>
      </c>
      <c r="V79" s="72"/>
      <c r="W79" s="72"/>
      <c r="X79" s="72"/>
      <c r="Y79" s="72">
        <v>7.14</v>
      </c>
      <c r="Z79" s="72">
        <v>21.43</v>
      </c>
      <c r="AA79" s="78"/>
      <c r="AB79" s="78"/>
      <c r="AC79" s="78"/>
      <c r="AD79" s="78"/>
      <c r="AE79" s="78"/>
      <c r="AF79" s="72">
        <v>7.14</v>
      </c>
      <c r="AG79" s="72"/>
      <c r="AH79" s="78"/>
      <c r="AI79" s="78"/>
      <c r="AJ79" s="78"/>
      <c r="AK79" s="78"/>
      <c r="AL79" s="78">
        <v>64.290000000000006</v>
      </c>
      <c r="AM79" s="78"/>
      <c r="AN79" s="78"/>
      <c r="AO79" s="78">
        <f t="shared" si="3"/>
        <v>100</v>
      </c>
      <c r="AR79" s="77"/>
      <c r="AV79" s="76"/>
    </row>
    <row r="80" spans="1:52" x14ac:dyDescent="0.3">
      <c r="A80" s="94" t="s">
        <v>89</v>
      </c>
      <c r="B80" s="93">
        <f t="shared" ref="B80:T80" si="5">SUM(B2:B79)</f>
        <v>7</v>
      </c>
      <c r="C80" s="93">
        <f t="shared" si="5"/>
        <v>11</v>
      </c>
      <c r="D80" s="93">
        <f t="shared" si="5"/>
        <v>15</v>
      </c>
      <c r="E80" s="93">
        <f t="shared" si="5"/>
        <v>15</v>
      </c>
      <c r="F80" s="93">
        <f t="shared" si="5"/>
        <v>59</v>
      </c>
      <c r="G80" s="93">
        <f t="shared" si="5"/>
        <v>44</v>
      </c>
      <c r="H80" s="93">
        <f t="shared" si="5"/>
        <v>7</v>
      </c>
      <c r="I80" s="93">
        <f t="shared" si="5"/>
        <v>4</v>
      </c>
      <c r="J80" s="93">
        <f t="shared" si="5"/>
        <v>1</v>
      </c>
      <c r="K80" s="93">
        <f t="shared" si="5"/>
        <v>6</v>
      </c>
      <c r="L80" s="93">
        <f t="shared" si="5"/>
        <v>22</v>
      </c>
      <c r="M80" s="93">
        <f t="shared" si="5"/>
        <v>119</v>
      </c>
      <c r="N80" s="93">
        <f t="shared" si="5"/>
        <v>17</v>
      </c>
      <c r="O80" s="93">
        <f t="shared" si="5"/>
        <v>1</v>
      </c>
      <c r="P80" s="93">
        <f t="shared" si="5"/>
        <v>5</v>
      </c>
      <c r="Q80" s="93">
        <f t="shared" si="5"/>
        <v>7</v>
      </c>
      <c r="R80" s="93">
        <f t="shared" si="5"/>
        <v>82</v>
      </c>
      <c r="S80" s="93">
        <f t="shared" si="5"/>
        <v>2</v>
      </c>
      <c r="T80" s="93">
        <f t="shared" si="5"/>
        <v>1</v>
      </c>
      <c r="U80" s="91" t="s">
        <v>87</v>
      </c>
      <c r="V80" s="92">
        <f>AVERAGE(V2:V79)</f>
        <v>22.77</v>
      </c>
      <c r="W80" s="92">
        <f t="shared" ref="W80:AN80" si="6">AVERAGE(W2:W79)</f>
        <v>29.847272727272728</v>
      </c>
      <c r="X80" s="92">
        <f t="shared" si="6"/>
        <v>27.874285714285712</v>
      </c>
      <c r="Y80" s="92">
        <f t="shared" si="6"/>
        <v>25.709999999999997</v>
      </c>
      <c r="Z80" s="92">
        <f t="shared" si="6"/>
        <v>29.886875000000003</v>
      </c>
      <c r="AA80" s="92">
        <f t="shared" si="6"/>
        <v>29.582857142857147</v>
      </c>
      <c r="AB80" s="92">
        <f t="shared" si="6"/>
        <v>26.511428571428571</v>
      </c>
      <c r="AC80" s="92">
        <f t="shared" si="6"/>
        <v>44.446666666666665</v>
      </c>
      <c r="AD80" s="92">
        <f t="shared" si="6"/>
        <v>12.5</v>
      </c>
      <c r="AE80" s="92">
        <f t="shared" si="6"/>
        <v>28.703333333333333</v>
      </c>
      <c r="AF80" s="92">
        <f t="shared" si="6"/>
        <v>31.262999999999998</v>
      </c>
      <c r="AG80" s="92">
        <f t="shared" si="6"/>
        <v>52.464347826086957</v>
      </c>
      <c r="AH80" s="92">
        <f t="shared" si="6"/>
        <v>24.261764705882353</v>
      </c>
      <c r="AI80" s="92">
        <f t="shared" si="6"/>
        <v>14.28</v>
      </c>
      <c r="AJ80" s="92">
        <f t="shared" si="6"/>
        <v>21.166</v>
      </c>
      <c r="AK80" s="92">
        <f t="shared" si="6"/>
        <v>38.886666666666663</v>
      </c>
      <c r="AL80" s="92">
        <f t="shared" si="6"/>
        <v>40.376363636363642</v>
      </c>
      <c r="AM80" s="92">
        <f t="shared" si="6"/>
        <v>22.22</v>
      </c>
      <c r="AN80" s="92">
        <f t="shared" si="6"/>
        <v>50</v>
      </c>
      <c r="AR80" s="77"/>
      <c r="AW80" s="77"/>
    </row>
    <row r="81" spans="21:44" x14ac:dyDescent="0.3">
      <c r="U81" s="77"/>
      <c r="AR81" s="77"/>
    </row>
    <row r="82" spans="21:44" x14ac:dyDescent="0.3">
      <c r="U82" s="77"/>
    </row>
    <row r="83" spans="21:44" x14ac:dyDescent="0.3">
      <c r="U83" s="77"/>
    </row>
    <row r="84" spans="21:44" x14ac:dyDescent="0.3">
      <c r="U84" s="77"/>
    </row>
    <row r="85" spans="21:44" x14ac:dyDescent="0.3">
      <c r="U85" s="77"/>
    </row>
    <row r="86" spans="21:44" x14ac:dyDescent="0.3">
      <c r="U86" s="77"/>
      <c r="AF86" s="77"/>
    </row>
    <row r="87" spans="21:44" x14ac:dyDescent="0.3">
      <c r="U87" s="77"/>
    </row>
    <row r="88" spans="21:44" x14ac:dyDescent="0.3">
      <c r="U88" s="77"/>
    </row>
    <row r="89" spans="21:44" x14ac:dyDescent="0.3">
      <c r="U89" s="77"/>
    </row>
    <row r="90" spans="21:44" x14ac:dyDescent="0.3">
      <c r="U90" s="77"/>
    </row>
    <row r="91" spans="21:44" x14ac:dyDescent="0.3">
      <c r="U91" s="77"/>
    </row>
    <row r="92" spans="21:44" x14ac:dyDescent="0.3">
      <c r="U92" s="77"/>
    </row>
    <row r="93" spans="21:44" x14ac:dyDescent="0.3">
      <c r="U93" s="77"/>
    </row>
    <row r="94" spans="21:44" x14ac:dyDescent="0.3">
      <c r="U94" s="77"/>
    </row>
    <row r="95" spans="21:44" x14ac:dyDescent="0.3">
      <c r="U95" s="77"/>
    </row>
    <row r="96" spans="21:44" x14ac:dyDescent="0.3">
      <c r="U96" s="77"/>
    </row>
    <row r="97" spans="21:21" x14ac:dyDescent="0.3">
      <c r="U97" s="77"/>
    </row>
    <row r="98" spans="21:21" x14ac:dyDescent="0.3">
      <c r="U98" s="77"/>
    </row>
    <row r="99" spans="21:21" x14ac:dyDescent="0.3">
      <c r="U99" s="77"/>
    </row>
    <row r="100" spans="21:21" x14ac:dyDescent="0.3">
      <c r="U100" s="77"/>
    </row>
    <row r="101" spans="21:21" x14ac:dyDescent="0.3">
      <c r="U101" s="77"/>
    </row>
    <row r="102" spans="21:21" x14ac:dyDescent="0.3">
      <c r="U102" s="77"/>
    </row>
    <row r="103" spans="21:21" x14ac:dyDescent="0.3">
      <c r="U103" s="77"/>
    </row>
    <row r="104" spans="21:21" x14ac:dyDescent="0.3">
      <c r="U104" s="77"/>
    </row>
    <row r="105" spans="21:21" x14ac:dyDescent="0.3">
      <c r="U105" s="77"/>
    </row>
    <row r="106" spans="21:21" x14ac:dyDescent="0.3">
      <c r="U106" s="77"/>
    </row>
    <row r="107" spans="21:21" x14ac:dyDescent="0.3">
      <c r="U107" s="77"/>
    </row>
    <row r="108" spans="21:21" x14ac:dyDescent="0.3">
      <c r="U108" s="77"/>
    </row>
    <row r="109" spans="21:21" x14ac:dyDescent="0.3">
      <c r="U109" s="77"/>
    </row>
    <row r="110" spans="21:21" x14ac:dyDescent="0.3">
      <c r="U110" s="77"/>
    </row>
    <row r="111" spans="21:21" x14ac:dyDescent="0.3">
      <c r="U111" s="77"/>
    </row>
    <row r="112" spans="21:21" x14ac:dyDescent="0.3">
      <c r="U112" s="77"/>
    </row>
    <row r="113" spans="21:21" x14ac:dyDescent="0.3">
      <c r="U113" s="77"/>
    </row>
    <row r="114" spans="21:21" x14ac:dyDescent="0.3">
      <c r="U114" s="77"/>
    </row>
    <row r="115" spans="21:21" x14ac:dyDescent="0.3">
      <c r="U115" s="77"/>
    </row>
    <row r="116" spans="21:21" x14ac:dyDescent="0.3">
      <c r="U116" s="77"/>
    </row>
    <row r="117" spans="21:21" x14ac:dyDescent="0.3">
      <c r="U117" s="77"/>
    </row>
    <row r="118" spans="21:21" x14ac:dyDescent="0.3">
      <c r="U118" s="77"/>
    </row>
    <row r="119" spans="21:21" x14ac:dyDescent="0.3">
      <c r="U119" s="77"/>
    </row>
    <row r="120" spans="21:21" x14ac:dyDescent="0.3">
      <c r="U120" s="77"/>
    </row>
    <row r="121" spans="21:21" x14ac:dyDescent="0.3">
      <c r="U121" s="77"/>
    </row>
    <row r="122" spans="21:21" x14ac:dyDescent="0.3">
      <c r="U122" s="77"/>
    </row>
    <row r="123" spans="21:21" x14ac:dyDescent="0.3">
      <c r="U123" s="77"/>
    </row>
    <row r="124" spans="21:21" x14ac:dyDescent="0.3">
      <c r="U124" s="77"/>
    </row>
    <row r="125" spans="21:21" x14ac:dyDescent="0.3">
      <c r="U125" s="77"/>
    </row>
    <row r="126" spans="21:21" x14ac:dyDescent="0.3">
      <c r="U126" s="77"/>
    </row>
    <row r="127" spans="21:21" x14ac:dyDescent="0.3">
      <c r="U127" s="77"/>
    </row>
    <row r="128" spans="21:21" x14ac:dyDescent="0.3">
      <c r="U128" s="77"/>
    </row>
    <row r="129" spans="21:21" x14ac:dyDescent="0.3">
      <c r="U129" s="77"/>
    </row>
    <row r="130" spans="21:21" x14ac:dyDescent="0.3">
      <c r="U130" s="77"/>
    </row>
    <row r="131" spans="21:21" x14ac:dyDescent="0.3">
      <c r="U131" s="77"/>
    </row>
    <row r="132" spans="21:21" x14ac:dyDescent="0.3">
      <c r="U132" s="77"/>
    </row>
    <row r="133" spans="21:21" x14ac:dyDescent="0.3">
      <c r="U133" s="77"/>
    </row>
    <row r="134" spans="21:21" x14ac:dyDescent="0.3">
      <c r="U134" s="77"/>
    </row>
    <row r="135" spans="21:21" x14ac:dyDescent="0.3">
      <c r="U135" s="77"/>
    </row>
    <row r="136" spans="21:21" x14ac:dyDescent="0.3">
      <c r="U136" s="77"/>
    </row>
    <row r="137" spans="21:21" x14ac:dyDescent="0.3">
      <c r="U137" s="77"/>
    </row>
    <row r="138" spans="21:21" x14ac:dyDescent="0.3">
      <c r="U138" s="77"/>
    </row>
    <row r="139" spans="21:21" x14ac:dyDescent="0.3">
      <c r="U139" s="77"/>
    </row>
    <row r="140" spans="21:21" x14ac:dyDescent="0.3">
      <c r="U140" s="77"/>
    </row>
    <row r="141" spans="21:21" x14ac:dyDescent="0.3">
      <c r="U141" s="77"/>
    </row>
    <row r="142" spans="21:21" x14ac:dyDescent="0.3">
      <c r="U142" s="77"/>
    </row>
    <row r="143" spans="21:21" x14ac:dyDescent="0.3">
      <c r="U143" s="77"/>
    </row>
    <row r="144" spans="21:21" x14ac:dyDescent="0.3">
      <c r="U144" s="77"/>
    </row>
    <row r="145" spans="21:21" x14ac:dyDescent="0.3">
      <c r="U145" s="77"/>
    </row>
    <row r="146" spans="21:21" x14ac:dyDescent="0.3">
      <c r="U146" s="77"/>
    </row>
    <row r="147" spans="21:21" x14ac:dyDescent="0.3">
      <c r="U147" s="77"/>
    </row>
    <row r="148" spans="21:21" x14ac:dyDescent="0.3">
      <c r="U148" s="77"/>
    </row>
    <row r="149" spans="21:21" x14ac:dyDescent="0.3">
      <c r="U149" s="77"/>
    </row>
    <row r="150" spans="21:21" x14ac:dyDescent="0.3">
      <c r="U150" s="77"/>
    </row>
    <row r="151" spans="21:21" x14ac:dyDescent="0.3">
      <c r="U151" s="77"/>
    </row>
    <row r="152" spans="21:21" x14ac:dyDescent="0.3">
      <c r="U152" s="77"/>
    </row>
    <row r="153" spans="21:21" x14ac:dyDescent="0.3">
      <c r="U153" s="77"/>
    </row>
    <row r="154" spans="21:21" x14ac:dyDescent="0.3">
      <c r="U154" s="77"/>
    </row>
    <row r="155" spans="21:21" x14ac:dyDescent="0.3">
      <c r="U155" s="77"/>
    </row>
    <row r="156" spans="21:21" x14ac:dyDescent="0.3">
      <c r="U156" s="77"/>
    </row>
    <row r="157" spans="21:21" x14ac:dyDescent="0.3">
      <c r="U157" s="77"/>
    </row>
    <row r="158" spans="21:21" x14ac:dyDescent="0.3">
      <c r="U158" s="77"/>
    </row>
    <row r="159" spans="21:21" x14ac:dyDescent="0.3">
      <c r="U159" s="77"/>
    </row>
    <row r="160" spans="21:21" x14ac:dyDescent="0.3">
      <c r="U160" s="77"/>
    </row>
    <row r="161" spans="21:21" x14ac:dyDescent="0.3">
      <c r="U161" s="77"/>
    </row>
    <row r="162" spans="21:21" x14ac:dyDescent="0.3">
      <c r="U162" s="77"/>
    </row>
    <row r="163" spans="21:21" x14ac:dyDescent="0.3">
      <c r="U163" s="77"/>
    </row>
    <row r="164" spans="21:21" x14ac:dyDescent="0.3">
      <c r="U164" s="77"/>
    </row>
    <row r="165" spans="21:21" x14ac:dyDescent="0.3">
      <c r="U165" s="77"/>
    </row>
    <row r="166" spans="21:21" x14ac:dyDescent="0.3">
      <c r="U166" s="77"/>
    </row>
    <row r="167" spans="21:21" x14ac:dyDescent="0.3">
      <c r="U167" s="77"/>
    </row>
    <row r="168" spans="21:21" x14ac:dyDescent="0.3">
      <c r="U168" s="77"/>
    </row>
    <row r="169" spans="21:21" x14ac:dyDescent="0.3">
      <c r="U169" s="77"/>
    </row>
    <row r="170" spans="21:21" x14ac:dyDescent="0.3">
      <c r="U170" s="77"/>
    </row>
    <row r="171" spans="21:21" x14ac:dyDescent="0.3">
      <c r="U171" s="77"/>
    </row>
    <row r="172" spans="21:21" x14ac:dyDescent="0.3">
      <c r="U172" s="77"/>
    </row>
    <row r="173" spans="21:21" x14ac:dyDescent="0.3">
      <c r="U173" s="77"/>
    </row>
    <row r="174" spans="21:21" x14ac:dyDescent="0.3">
      <c r="U174" s="77"/>
    </row>
    <row r="175" spans="21:21" x14ac:dyDescent="0.3">
      <c r="U175" s="77"/>
    </row>
    <row r="176" spans="21:21" x14ac:dyDescent="0.3">
      <c r="U176" s="77"/>
    </row>
    <row r="177" spans="21:21" x14ac:dyDescent="0.3">
      <c r="U177" s="77"/>
    </row>
    <row r="178" spans="21:21" x14ac:dyDescent="0.3">
      <c r="U178" s="77"/>
    </row>
    <row r="179" spans="21:21" x14ac:dyDescent="0.3">
      <c r="U179" s="77"/>
    </row>
    <row r="180" spans="21:21" x14ac:dyDescent="0.3">
      <c r="U180" s="77"/>
    </row>
    <row r="181" spans="21:21" x14ac:dyDescent="0.3">
      <c r="U181" s="77"/>
    </row>
    <row r="182" spans="21:21" x14ac:dyDescent="0.3">
      <c r="U182" s="77"/>
    </row>
    <row r="183" spans="21:21" x14ac:dyDescent="0.3">
      <c r="U183" s="77"/>
    </row>
    <row r="184" spans="21:21" x14ac:dyDescent="0.3">
      <c r="U184" s="77"/>
    </row>
    <row r="185" spans="21:21" x14ac:dyDescent="0.3">
      <c r="U185" s="77"/>
    </row>
    <row r="186" spans="21:21" x14ac:dyDescent="0.3">
      <c r="U186" s="77"/>
    </row>
    <row r="187" spans="21:21" x14ac:dyDescent="0.3">
      <c r="U187" s="77"/>
    </row>
    <row r="188" spans="21:21" x14ac:dyDescent="0.3">
      <c r="U188" s="77"/>
    </row>
    <row r="189" spans="21:21" x14ac:dyDescent="0.3">
      <c r="U189" s="77"/>
    </row>
    <row r="190" spans="21:21" x14ac:dyDescent="0.3">
      <c r="U190" s="77"/>
    </row>
    <row r="191" spans="21:21" x14ac:dyDescent="0.3">
      <c r="U191" s="77"/>
    </row>
    <row r="192" spans="21:21" x14ac:dyDescent="0.3">
      <c r="U192" s="77"/>
    </row>
    <row r="193" spans="21:21" x14ac:dyDescent="0.3">
      <c r="U193" s="77"/>
    </row>
    <row r="194" spans="21:21" x14ac:dyDescent="0.3">
      <c r="U194" s="77"/>
    </row>
    <row r="195" spans="21:21" x14ac:dyDescent="0.3">
      <c r="U195" s="77"/>
    </row>
    <row r="196" spans="21:21" x14ac:dyDescent="0.3">
      <c r="U196" s="77"/>
    </row>
    <row r="197" spans="21:21" x14ac:dyDescent="0.3">
      <c r="U197" s="77"/>
    </row>
    <row r="198" spans="21:21" x14ac:dyDescent="0.3">
      <c r="U198" s="77"/>
    </row>
    <row r="199" spans="21:21" x14ac:dyDescent="0.3">
      <c r="U199" s="77"/>
    </row>
    <row r="200" spans="21:21" x14ac:dyDescent="0.3">
      <c r="U200" s="77"/>
    </row>
    <row r="201" spans="21:21" x14ac:dyDescent="0.3">
      <c r="U201" s="77"/>
    </row>
    <row r="202" spans="21:21" x14ac:dyDescent="0.3">
      <c r="U202" s="77"/>
    </row>
    <row r="203" spans="21:21" x14ac:dyDescent="0.3">
      <c r="U203" s="77"/>
    </row>
    <row r="204" spans="21:21" x14ac:dyDescent="0.3">
      <c r="U204" s="77"/>
    </row>
    <row r="205" spans="21:21" x14ac:dyDescent="0.3">
      <c r="U205" s="77"/>
    </row>
    <row r="206" spans="21:21" x14ac:dyDescent="0.3">
      <c r="U206" s="77"/>
    </row>
    <row r="207" spans="21:21" x14ac:dyDescent="0.3">
      <c r="U207" s="77"/>
    </row>
    <row r="208" spans="21:21" x14ac:dyDescent="0.3">
      <c r="U208" s="77"/>
    </row>
    <row r="209" spans="21:21" x14ac:dyDescent="0.3">
      <c r="U209" s="77"/>
    </row>
    <row r="210" spans="21:21" x14ac:dyDescent="0.3">
      <c r="U210" s="77"/>
    </row>
    <row r="211" spans="21:21" x14ac:dyDescent="0.3">
      <c r="U211" s="77"/>
    </row>
    <row r="212" spans="21:21" x14ac:dyDescent="0.3">
      <c r="U212" s="77"/>
    </row>
    <row r="213" spans="21:21" x14ac:dyDescent="0.3">
      <c r="U213" s="77"/>
    </row>
    <row r="214" spans="21:21" x14ac:dyDescent="0.3">
      <c r="U214" s="88"/>
    </row>
  </sheetData>
  <mergeCells count="1">
    <mergeCell ref="AQ2:AR2"/>
  </mergeCells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ACAF-5FCE-4FBF-B8B9-EBEC4485870D}">
  <dimension ref="A1:T79"/>
  <sheetViews>
    <sheetView workbookViewId="0">
      <selection activeCell="B1" sqref="B1"/>
    </sheetView>
  </sheetViews>
  <sheetFormatPr defaultRowHeight="14.4" x14ac:dyDescent="0.3"/>
  <cols>
    <col min="1" max="1" width="8.6640625" bestFit="1" customWidth="1"/>
    <col min="2" max="2" width="15.44140625" bestFit="1" customWidth="1"/>
    <col min="3" max="3" width="12.88671875" bestFit="1" customWidth="1"/>
    <col min="4" max="4" width="9.33203125" bestFit="1" customWidth="1"/>
    <col min="5" max="5" width="11.109375" bestFit="1" customWidth="1"/>
    <col min="6" max="6" width="14.109375" bestFit="1" customWidth="1"/>
    <col min="7" max="7" width="6.88671875" bestFit="1" customWidth="1"/>
    <col min="8" max="8" width="14.21875" bestFit="1" customWidth="1"/>
    <col min="10" max="10" width="13.109375" bestFit="1" customWidth="1"/>
    <col min="11" max="11" width="14.21875" bestFit="1" customWidth="1"/>
    <col min="12" max="12" width="13.44140625" bestFit="1" customWidth="1"/>
    <col min="13" max="13" width="12.109375" bestFit="1" customWidth="1"/>
    <col min="14" max="14" width="9.6640625" bestFit="1" customWidth="1"/>
    <col min="15" max="15" width="10" bestFit="1" customWidth="1"/>
    <col min="16" max="16" width="11.77734375" bestFit="1" customWidth="1"/>
    <col min="17" max="17" width="10.21875" bestFit="1" customWidth="1"/>
    <col min="18" max="18" width="10.77734375" bestFit="1" customWidth="1"/>
    <col min="19" max="19" width="9.6640625" bestFit="1" customWidth="1"/>
    <col min="20" max="20" width="11.44140625" bestFit="1" customWidth="1"/>
  </cols>
  <sheetData>
    <row r="1" spans="1:20" ht="15.6" x14ac:dyDescent="0.3">
      <c r="A1" s="95" t="s">
        <v>4</v>
      </c>
      <c r="B1" s="95" t="s">
        <v>143</v>
      </c>
      <c r="C1" s="95" t="s">
        <v>158</v>
      </c>
      <c r="D1" s="95" t="s">
        <v>9</v>
      </c>
      <c r="E1" s="95" t="s">
        <v>11</v>
      </c>
      <c r="F1" s="95" t="s">
        <v>13</v>
      </c>
      <c r="G1" s="95" t="s">
        <v>15</v>
      </c>
      <c r="H1" s="95" t="s">
        <v>17</v>
      </c>
      <c r="I1" s="95" t="s">
        <v>19</v>
      </c>
      <c r="J1" s="95" t="s">
        <v>21</v>
      </c>
      <c r="K1" s="95" t="s">
        <v>23</v>
      </c>
      <c r="L1" s="95" t="s">
        <v>135</v>
      </c>
      <c r="M1" s="95" t="s">
        <v>27</v>
      </c>
      <c r="N1" s="95" t="s">
        <v>29</v>
      </c>
      <c r="O1" s="95" t="s">
        <v>31</v>
      </c>
      <c r="P1" s="95" t="s">
        <v>144</v>
      </c>
      <c r="Q1" s="95" t="s">
        <v>35</v>
      </c>
      <c r="R1" s="95" t="s">
        <v>37</v>
      </c>
      <c r="S1" s="95" t="s">
        <v>39</v>
      </c>
      <c r="T1" s="95" t="s">
        <v>41</v>
      </c>
    </row>
    <row r="2" spans="1:20" ht="15.6" x14ac:dyDescent="0.3">
      <c r="A2" s="72">
        <v>3</v>
      </c>
      <c r="B2" s="72"/>
      <c r="C2" s="72">
        <v>1</v>
      </c>
      <c r="D2" s="72"/>
      <c r="E2" s="72"/>
      <c r="F2" s="72"/>
      <c r="G2" s="72"/>
      <c r="H2" s="72"/>
      <c r="I2" s="72"/>
      <c r="J2" s="72"/>
      <c r="K2" s="72"/>
      <c r="L2" s="72">
        <v>1</v>
      </c>
      <c r="M2" s="72"/>
      <c r="N2" s="72"/>
      <c r="O2" s="72"/>
      <c r="P2" s="72"/>
      <c r="Q2" s="72"/>
      <c r="R2" s="72">
        <v>1</v>
      </c>
      <c r="S2" s="72"/>
      <c r="T2" s="72"/>
    </row>
    <row r="3" spans="1:20" ht="15.6" x14ac:dyDescent="0.3">
      <c r="A3" s="72" t="s">
        <v>52</v>
      </c>
      <c r="B3" s="72"/>
      <c r="C3" s="72"/>
      <c r="D3" s="72"/>
      <c r="E3" s="72"/>
      <c r="F3" s="72">
        <v>2</v>
      </c>
      <c r="G3" s="72"/>
      <c r="H3" s="72"/>
      <c r="I3" s="72"/>
      <c r="J3" s="72"/>
      <c r="K3" s="72"/>
      <c r="L3" s="72"/>
      <c r="M3" s="72"/>
      <c r="N3" s="72"/>
      <c r="O3" s="72"/>
      <c r="P3" s="72">
        <v>1</v>
      </c>
      <c r="Q3" s="72"/>
      <c r="R3" s="72"/>
      <c r="S3" s="72"/>
      <c r="T3" s="72"/>
    </row>
    <row r="4" spans="1:20" ht="15.6" x14ac:dyDescent="0.3">
      <c r="A4" s="72" t="s">
        <v>54</v>
      </c>
      <c r="B4" s="72"/>
      <c r="C4" s="72"/>
      <c r="D4" s="72">
        <v>1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>
        <v>3</v>
      </c>
      <c r="S4" s="72"/>
      <c r="T4" s="72"/>
    </row>
    <row r="5" spans="1:20" ht="15.6" x14ac:dyDescent="0.3">
      <c r="A5" s="72">
        <v>142</v>
      </c>
      <c r="B5" s="72"/>
      <c r="C5" s="72"/>
      <c r="D5" s="72"/>
      <c r="E5" s="72"/>
      <c r="F5" s="72">
        <v>2</v>
      </c>
      <c r="G5" s="72">
        <v>1</v>
      </c>
      <c r="H5" s="72"/>
      <c r="I5" s="72"/>
      <c r="J5" s="72"/>
      <c r="K5" s="72"/>
      <c r="L5" s="72"/>
      <c r="M5" s="72">
        <v>4</v>
      </c>
      <c r="N5" s="72"/>
      <c r="O5" s="72"/>
      <c r="P5" s="72"/>
      <c r="Q5" s="72"/>
      <c r="R5" s="72"/>
      <c r="S5" s="72"/>
      <c r="T5" s="72"/>
    </row>
    <row r="6" spans="1:20" ht="15.6" x14ac:dyDescent="0.3">
      <c r="A6" s="72">
        <v>2</v>
      </c>
      <c r="B6" s="72"/>
      <c r="C6" s="72"/>
      <c r="D6" s="72">
        <v>1</v>
      </c>
      <c r="E6" s="72"/>
      <c r="F6" s="72">
        <v>1</v>
      </c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>
        <v>1</v>
      </c>
      <c r="S6" s="72"/>
      <c r="T6" s="72"/>
    </row>
    <row r="7" spans="1:20" ht="15.6" x14ac:dyDescent="0.3">
      <c r="A7" s="72" t="s">
        <v>58</v>
      </c>
      <c r="B7" s="72"/>
      <c r="C7" s="72"/>
      <c r="D7" s="72"/>
      <c r="E7" s="72"/>
      <c r="F7" s="72">
        <v>1</v>
      </c>
      <c r="G7" s="72"/>
      <c r="H7" s="72"/>
      <c r="I7" s="72"/>
      <c r="J7" s="72"/>
      <c r="K7" s="72"/>
      <c r="L7" s="72">
        <v>1</v>
      </c>
      <c r="M7" s="72"/>
      <c r="N7" s="72"/>
      <c r="O7" s="72"/>
      <c r="P7" s="72"/>
      <c r="Q7" s="72"/>
      <c r="R7" s="72"/>
      <c r="S7" s="72"/>
      <c r="T7" s="72"/>
    </row>
    <row r="8" spans="1:20" ht="15.6" x14ac:dyDescent="0.3">
      <c r="A8" s="72">
        <v>161</v>
      </c>
      <c r="B8" s="72"/>
      <c r="C8" s="72">
        <v>1</v>
      </c>
      <c r="D8" s="72"/>
      <c r="E8" s="72"/>
      <c r="F8" s="72">
        <v>1</v>
      </c>
      <c r="G8" s="72"/>
      <c r="H8" s="72"/>
      <c r="I8" s="72"/>
      <c r="J8" s="72"/>
      <c r="K8" s="72"/>
      <c r="L8" s="72">
        <v>1</v>
      </c>
      <c r="M8" s="72"/>
      <c r="N8" s="72"/>
      <c r="O8" s="72"/>
      <c r="P8" s="72"/>
      <c r="Q8" s="72"/>
      <c r="R8" s="72"/>
      <c r="S8" s="72"/>
      <c r="T8" s="72"/>
    </row>
    <row r="9" spans="1:20" ht="15.6" x14ac:dyDescent="0.3">
      <c r="A9" s="72">
        <v>172</v>
      </c>
      <c r="B9" s="72">
        <v>1</v>
      </c>
      <c r="C9" s="72"/>
      <c r="D9" s="72"/>
      <c r="E9" s="72"/>
      <c r="F9" s="72">
        <v>1</v>
      </c>
      <c r="G9" s="72"/>
      <c r="H9" s="72">
        <v>1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</row>
    <row r="10" spans="1:20" ht="15.6" x14ac:dyDescent="0.3">
      <c r="A10" s="72">
        <v>169</v>
      </c>
      <c r="B10" s="72"/>
      <c r="C10" s="72"/>
      <c r="D10" s="72"/>
      <c r="E10" s="72"/>
      <c r="F10" s="72">
        <v>3</v>
      </c>
      <c r="G10" s="72"/>
      <c r="H10" s="72"/>
      <c r="I10" s="72"/>
      <c r="J10" s="72"/>
      <c r="K10" s="72"/>
      <c r="L10" s="72"/>
      <c r="M10" s="72">
        <v>4</v>
      </c>
      <c r="N10" s="72"/>
      <c r="O10" s="72"/>
      <c r="P10" s="72">
        <v>1</v>
      </c>
      <c r="Q10" s="72"/>
      <c r="R10" s="72"/>
      <c r="S10" s="72"/>
      <c r="T10" s="72"/>
    </row>
    <row r="11" spans="1:20" ht="15.6" x14ac:dyDescent="0.3">
      <c r="A11" s="72" t="s">
        <v>60</v>
      </c>
      <c r="B11" s="72"/>
      <c r="C11" s="72"/>
      <c r="D11" s="72"/>
      <c r="E11" s="72"/>
      <c r="F11" s="72">
        <v>1</v>
      </c>
      <c r="G11" s="72">
        <v>1</v>
      </c>
      <c r="H11" s="72"/>
      <c r="I11" s="72"/>
      <c r="J11" s="72"/>
      <c r="K11" s="72"/>
      <c r="L11" s="72">
        <v>1</v>
      </c>
      <c r="M11" s="72"/>
      <c r="N11" s="72"/>
      <c r="O11" s="72"/>
      <c r="P11" s="72"/>
      <c r="Q11" s="72"/>
      <c r="R11" s="72"/>
      <c r="S11" s="72"/>
      <c r="T11" s="72"/>
    </row>
    <row r="12" spans="1:20" ht="15.6" x14ac:dyDescent="0.3">
      <c r="A12" s="72">
        <v>173</v>
      </c>
      <c r="B12" s="72"/>
      <c r="C12" s="72"/>
      <c r="D12" s="72"/>
      <c r="E12" s="72"/>
      <c r="F12" s="72"/>
      <c r="G12" s="72">
        <v>1</v>
      </c>
      <c r="H12" s="72"/>
      <c r="I12" s="72"/>
      <c r="J12" s="72"/>
      <c r="K12" s="72"/>
      <c r="L12" s="72">
        <v>1</v>
      </c>
      <c r="M12" s="72"/>
      <c r="N12" s="72"/>
      <c r="O12" s="72"/>
      <c r="P12" s="72"/>
      <c r="Q12" s="72"/>
      <c r="R12" s="72"/>
      <c r="S12" s="72"/>
      <c r="T12" s="72"/>
    </row>
    <row r="13" spans="1:20" ht="15.6" x14ac:dyDescent="0.3">
      <c r="A13" s="72">
        <v>251</v>
      </c>
      <c r="B13" s="72"/>
      <c r="C13" s="72"/>
      <c r="D13" s="72">
        <v>1</v>
      </c>
      <c r="E13" s="72">
        <v>1</v>
      </c>
      <c r="F13" s="72">
        <v>1</v>
      </c>
      <c r="G13" s="72"/>
      <c r="H13" s="72"/>
      <c r="I13" s="72"/>
      <c r="J13" s="72">
        <v>1</v>
      </c>
      <c r="K13" s="72"/>
      <c r="L13" s="72"/>
      <c r="M13" s="72"/>
      <c r="N13" s="72">
        <v>1</v>
      </c>
      <c r="O13" s="72"/>
      <c r="P13" s="72"/>
      <c r="Q13" s="72"/>
      <c r="R13" s="72">
        <v>3</v>
      </c>
      <c r="S13" s="72"/>
      <c r="T13" s="72"/>
    </row>
    <row r="14" spans="1:20" ht="15.6" x14ac:dyDescent="0.3">
      <c r="A14" s="72">
        <v>4</v>
      </c>
      <c r="B14" s="72"/>
      <c r="C14" s="72"/>
      <c r="D14" s="72">
        <v>1</v>
      </c>
      <c r="E14" s="72">
        <v>1</v>
      </c>
      <c r="F14" s="72"/>
      <c r="G14" s="72">
        <v>1</v>
      </c>
      <c r="H14" s="72"/>
      <c r="I14" s="72"/>
      <c r="J14" s="72"/>
      <c r="K14" s="72">
        <v>4</v>
      </c>
      <c r="L14" s="72"/>
      <c r="M14" s="72"/>
      <c r="N14" s="72">
        <v>1</v>
      </c>
      <c r="O14" s="72"/>
      <c r="P14" s="72"/>
      <c r="Q14" s="72"/>
      <c r="R14" s="72"/>
      <c r="S14" s="72"/>
      <c r="T14" s="72"/>
    </row>
    <row r="15" spans="1:20" ht="15.6" x14ac:dyDescent="0.3">
      <c r="A15" s="72">
        <v>232</v>
      </c>
      <c r="B15" s="72"/>
      <c r="C15" s="72">
        <v>1</v>
      </c>
      <c r="D15" s="72"/>
      <c r="E15" s="72"/>
      <c r="F15" s="72"/>
      <c r="G15" s="72"/>
      <c r="H15" s="72"/>
      <c r="I15" s="72"/>
      <c r="J15" s="72"/>
      <c r="K15" s="72"/>
      <c r="L15" s="72">
        <v>2</v>
      </c>
      <c r="M15" s="72"/>
      <c r="N15" s="72"/>
      <c r="O15" s="72"/>
      <c r="P15" s="72"/>
      <c r="Q15" s="72">
        <v>3</v>
      </c>
      <c r="R15" s="72"/>
      <c r="S15" s="72"/>
      <c r="T15" s="72"/>
    </row>
    <row r="16" spans="1:20" ht="15.6" x14ac:dyDescent="0.3">
      <c r="A16" s="72">
        <v>242</v>
      </c>
      <c r="B16" s="72"/>
      <c r="C16" s="72">
        <v>1</v>
      </c>
      <c r="D16" s="72"/>
      <c r="E16" s="72"/>
      <c r="F16" s="72">
        <v>1</v>
      </c>
      <c r="G16" s="72"/>
      <c r="H16" s="72"/>
      <c r="I16" s="72"/>
      <c r="J16" s="72"/>
      <c r="K16" s="72"/>
      <c r="L16" s="72">
        <v>1</v>
      </c>
      <c r="M16" s="72"/>
      <c r="N16" s="72"/>
      <c r="O16" s="72"/>
      <c r="P16" s="72"/>
      <c r="Q16" s="72"/>
      <c r="R16" s="72"/>
      <c r="S16" s="72"/>
      <c r="T16" s="72"/>
    </row>
    <row r="17" spans="1:20" ht="15.6" x14ac:dyDescent="0.3">
      <c r="A17" s="72">
        <v>234</v>
      </c>
      <c r="B17" s="72"/>
      <c r="C17" s="72"/>
      <c r="D17" s="72"/>
      <c r="E17" s="72"/>
      <c r="F17" s="72"/>
      <c r="G17" s="72">
        <v>1</v>
      </c>
      <c r="H17" s="72"/>
      <c r="I17" s="72"/>
      <c r="J17" s="72"/>
      <c r="K17" s="72"/>
      <c r="L17" s="72"/>
      <c r="M17" s="72">
        <v>3</v>
      </c>
      <c r="N17" s="72"/>
      <c r="O17" s="72"/>
      <c r="P17" s="72"/>
      <c r="Q17" s="72"/>
      <c r="R17" s="72"/>
      <c r="S17" s="72"/>
      <c r="T17" s="72"/>
    </row>
    <row r="18" spans="1:20" ht="15.6" x14ac:dyDescent="0.3">
      <c r="A18" s="72">
        <v>218</v>
      </c>
      <c r="B18" s="72"/>
      <c r="C18" s="72"/>
      <c r="D18" s="72"/>
      <c r="E18" s="72"/>
      <c r="F18" s="72">
        <v>1</v>
      </c>
      <c r="G18" s="72">
        <v>1</v>
      </c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</row>
    <row r="19" spans="1:20" ht="15.6" x14ac:dyDescent="0.3">
      <c r="A19" s="72">
        <v>229</v>
      </c>
      <c r="B19" s="72"/>
      <c r="C19" s="72"/>
      <c r="D19" s="72"/>
      <c r="E19" s="72"/>
      <c r="F19" s="72"/>
      <c r="G19" s="72">
        <v>1</v>
      </c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</row>
    <row r="20" spans="1:20" ht="15.6" x14ac:dyDescent="0.3">
      <c r="A20" s="72">
        <v>246</v>
      </c>
      <c r="B20" s="72">
        <v>1</v>
      </c>
      <c r="C20" s="72"/>
      <c r="D20" s="72"/>
      <c r="E20" s="72"/>
      <c r="F20" s="72">
        <v>3</v>
      </c>
      <c r="G20" s="72"/>
      <c r="H20" s="72">
        <v>1</v>
      </c>
      <c r="I20" s="72"/>
      <c r="J20" s="72"/>
      <c r="K20" s="72"/>
      <c r="L20" s="72">
        <v>1</v>
      </c>
      <c r="M20" s="72"/>
      <c r="N20" s="72"/>
      <c r="O20" s="72"/>
      <c r="P20" s="72"/>
      <c r="Q20" s="72"/>
      <c r="R20" s="72">
        <v>23</v>
      </c>
      <c r="S20" s="72"/>
      <c r="T20" s="72"/>
    </row>
    <row r="21" spans="1:20" ht="15.6" x14ac:dyDescent="0.3">
      <c r="A21" s="72">
        <v>253</v>
      </c>
      <c r="B21" s="72"/>
      <c r="C21" s="72"/>
      <c r="D21" s="72">
        <v>1</v>
      </c>
      <c r="E21" s="72"/>
      <c r="F21" s="72">
        <v>1</v>
      </c>
      <c r="G21" s="72">
        <v>1</v>
      </c>
      <c r="H21" s="72"/>
      <c r="I21" s="72"/>
      <c r="J21" s="72"/>
      <c r="K21" s="72"/>
      <c r="L21" s="72">
        <v>1</v>
      </c>
      <c r="M21" s="72"/>
      <c r="N21" s="72"/>
      <c r="O21" s="72"/>
      <c r="P21" s="72"/>
      <c r="Q21" s="72"/>
      <c r="R21" s="72">
        <v>2</v>
      </c>
      <c r="S21" s="72"/>
      <c r="T21" s="72"/>
    </row>
    <row r="22" spans="1:20" ht="15.6" x14ac:dyDescent="0.3">
      <c r="A22" s="72">
        <v>243</v>
      </c>
      <c r="B22" s="72"/>
      <c r="C22" s="72"/>
      <c r="D22" s="72"/>
      <c r="E22" s="72"/>
      <c r="F22" s="72">
        <v>1</v>
      </c>
      <c r="G22" s="72">
        <v>1</v>
      </c>
      <c r="H22" s="72"/>
      <c r="I22" s="72"/>
      <c r="J22" s="72"/>
      <c r="K22" s="72"/>
      <c r="L22" s="72"/>
      <c r="M22" s="72">
        <v>29</v>
      </c>
      <c r="N22" s="72"/>
      <c r="O22" s="72"/>
      <c r="P22" s="72"/>
      <c r="Q22" s="72"/>
      <c r="R22" s="72"/>
      <c r="S22" s="72"/>
      <c r="T22" s="72"/>
    </row>
    <row r="23" spans="1:20" ht="15.6" x14ac:dyDescent="0.3">
      <c r="A23" s="72">
        <v>239</v>
      </c>
      <c r="B23" s="72"/>
      <c r="C23" s="72"/>
      <c r="D23" s="72">
        <v>1</v>
      </c>
      <c r="E23" s="72"/>
      <c r="F23" s="72">
        <v>1</v>
      </c>
      <c r="G23" s="72"/>
      <c r="H23" s="72"/>
      <c r="I23" s="72"/>
      <c r="J23" s="72"/>
      <c r="K23" s="72"/>
      <c r="L23" s="72"/>
      <c r="M23" s="72"/>
      <c r="N23" s="72">
        <v>1</v>
      </c>
      <c r="O23" s="72"/>
      <c r="P23" s="72"/>
      <c r="Q23" s="72"/>
      <c r="R23" s="72">
        <v>1</v>
      </c>
      <c r="S23" s="72"/>
      <c r="T23" s="72"/>
    </row>
    <row r="24" spans="1:20" ht="15.6" x14ac:dyDescent="0.3">
      <c r="A24" s="72">
        <v>227</v>
      </c>
      <c r="B24" s="72"/>
      <c r="C24" s="72"/>
      <c r="D24" s="72"/>
      <c r="E24" s="72">
        <v>1</v>
      </c>
      <c r="F24" s="72">
        <v>1</v>
      </c>
      <c r="G24" s="72">
        <v>1</v>
      </c>
      <c r="H24" s="72"/>
      <c r="I24" s="72"/>
      <c r="J24" s="72"/>
      <c r="K24" s="72"/>
      <c r="L24" s="72"/>
      <c r="M24" s="72">
        <v>1</v>
      </c>
      <c r="N24" s="72"/>
      <c r="O24" s="72"/>
      <c r="P24" s="72"/>
      <c r="Q24" s="72"/>
      <c r="R24" s="72"/>
      <c r="S24" s="72"/>
      <c r="T24" s="72"/>
    </row>
    <row r="25" spans="1:20" ht="15.6" x14ac:dyDescent="0.3">
      <c r="A25" s="72">
        <v>238</v>
      </c>
      <c r="B25" s="72"/>
      <c r="C25" s="72"/>
      <c r="D25" s="72"/>
      <c r="E25" s="72"/>
      <c r="F25" s="72">
        <v>2</v>
      </c>
      <c r="G25" s="72">
        <v>1</v>
      </c>
      <c r="H25" s="72"/>
      <c r="I25" s="72"/>
      <c r="J25" s="72"/>
      <c r="K25" s="72"/>
      <c r="L25" s="72"/>
      <c r="M25" s="72"/>
      <c r="N25" s="72">
        <v>1</v>
      </c>
      <c r="O25" s="72"/>
      <c r="P25" s="72"/>
      <c r="Q25" s="72"/>
      <c r="R25" s="72">
        <v>3</v>
      </c>
      <c r="S25" s="72"/>
      <c r="T25" s="72"/>
    </row>
    <row r="26" spans="1:20" ht="15.6" x14ac:dyDescent="0.3">
      <c r="A26" s="72">
        <v>236</v>
      </c>
      <c r="B26" s="72"/>
      <c r="C26" s="72"/>
      <c r="D26" s="72"/>
      <c r="E26" s="72"/>
      <c r="F26" s="72"/>
      <c r="G26" s="72">
        <v>1</v>
      </c>
      <c r="H26" s="72"/>
      <c r="I26" s="72"/>
      <c r="J26" s="72"/>
      <c r="K26" s="72"/>
      <c r="L26" s="72"/>
      <c r="M26" s="72">
        <v>13</v>
      </c>
      <c r="N26" s="72"/>
      <c r="O26" s="72"/>
      <c r="P26" s="72"/>
      <c r="Q26" s="72"/>
      <c r="R26" s="72"/>
      <c r="S26" s="72"/>
      <c r="T26" s="72"/>
    </row>
    <row r="27" spans="1:20" ht="15.6" x14ac:dyDescent="0.3">
      <c r="A27" s="72">
        <v>235</v>
      </c>
      <c r="B27" s="72"/>
      <c r="C27" s="72"/>
      <c r="D27" s="72"/>
      <c r="E27" s="72"/>
      <c r="F27" s="72">
        <v>1</v>
      </c>
      <c r="G27" s="72">
        <v>1</v>
      </c>
      <c r="H27" s="72"/>
      <c r="I27" s="72"/>
      <c r="J27" s="72"/>
      <c r="K27" s="72"/>
      <c r="L27" s="72"/>
      <c r="M27" s="72">
        <v>10</v>
      </c>
      <c r="N27" s="72">
        <v>1</v>
      </c>
      <c r="O27" s="72"/>
      <c r="P27" s="72"/>
      <c r="Q27" s="72"/>
      <c r="R27" s="72">
        <v>7</v>
      </c>
      <c r="S27" s="72"/>
      <c r="T27" s="72"/>
    </row>
    <row r="28" spans="1:20" ht="15.6" x14ac:dyDescent="0.3">
      <c r="A28" s="72">
        <v>225</v>
      </c>
      <c r="B28" s="72"/>
      <c r="C28" s="72"/>
      <c r="D28" s="72"/>
      <c r="E28" s="72"/>
      <c r="F28" s="72">
        <v>1</v>
      </c>
      <c r="G28" s="72">
        <v>1</v>
      </c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</row>
    <row r="29" spans="1:20" ht="15.6" x14ac:dyDescent="0.3">
      <c r="A29" s="72">
        <v>240</v>
      </c>
      <c r="B29" s="72"/>
      <c r="C29" s="72"/>
      <c r="D29" s="72">
        <v>1</v>
      </c>
      <c r="E29" s="72"/>
      <c r="F29" s="72">
        <v>1</v>
      </c>
      <c r="G29" s="72">
        <v>2</v>
      </c>
      <c r="H29" s="72"/>
      <c r="I29" s="72"/>
      <c r="J29" s="72"/>
      <c r="K29" s="72"/>
      <c r="L29" s="72"/>
      <c r="M29" s="72">
        <v>1</v>
      </c>
      <c r="N29" s="72"/>
      <c r="O29" s="72"/>
      <c r="P29" s="72"/>
      <c r="Q29" s="72"/>
      <c r="R29" s="72"/>
      <c r="S29" s="72"/>
      <c r="T29" s="72"/>
    </row>
    <row r="30" spans="1:20" ht="15.6" x14ac:dyDescent="0.3">
      <c r="A30" s="72">
        <v>250</v>
      </c>
      <c r="B30" s="72"/>
      <c r="C30" s="72"/>
      <c r="D30" s="72"/>
      <c r="E30" s="72"/>
      <c r="F30" s="72">
        <v>1</v>
      </c>
      <c r="G30" s="72">
        <v>2</v>
      </c>
      <c r="H30" s="72"/>
      <c r="I30" s="72"/>
      <c r="J30" s="72"/>
      <c r="K30" s="72"/>
      <c r="L30" s="72"/>
      <c r="M30" s="72">
        <v>3</v>
      </c>
      <c r="N30" s="72"/>
      <c r="O30" s="72"/>
      <c r="P30" s="72"/>
      <c r="Q30" s="72"/>
      <c r="R30" s="72"/>
      <c r="S30" s="72"/>
      <c r="T30" s="72"/>
    </row>
    <row r="31" spans="1:20" ht="15.6" x14ac:dyDescent="0.3">
      <c r="A31" s="72">
        <v>221</v>
      </c>
      <c r="B31" s="72"/>
      <c r="C31" s="72">
        <v>1</v>
      </c>
      <c r="D31" s="72"/>
      <c r="E31" s="72"/>
      <c r="F31" s="72">
        <v>1</v>
      </c>
      <c r="G31" s="72"/>
      <c r="H31" s="72"/>
      <c r="I31" s="72"/>
      <c r="J31" s="72"/>
      <c r="K31" s="72">
        <v>1</v>
      </c>
      <c r="L31" s="72"/>
      <c r="M31" s="72">
        <v>1</v>
      </c>
      <c r="N31" s="72"/>
      <c r="O31" s="72"/>
      <c r="P31" s="72"/>
      <c r="Q31" s="72"/>
      <c r="R31" s="72"/>
      <c r="S31" s="72"/>
      <c r="T31" s="72"/>
    </row>
    <row r="32" spans="1:20" ht="15.6" x14ac:dyDescent="0.3">
      <c r="A32" s="72">
        <v>220</v>
      </c>
      <c r="B32" s="72"/>
      <c r="C32" s="72">
        <v>1</v>
      </c>
      <c r="D32" s="72"/>
      <c r="E32" s="72"/>
      <c r="F32" s="72"/>
      <c r="G32" s="72"/>
      <c r="H32" s="72"/>
      <c r="I32" s="72"/>
      <c r="J32" s="72"/>
      <c r="K32" s="72"/>
      <c r="L32" s="72">
        <v>1</v>
      </c>
      <c r="M32" s="72"/>
      <c r="N32" s="72"/>
      <c r="O32" s="72"/>
      <c r="P32" s="72"/>
      <c r="Q32" s="72"/>
      <c r="R32" s="72"/>
      <c r="S32" s="72"/>
      <c r="T32" s="72"/>
    </row>
    <row r="33" spans="1:20" ht="15.6" x14ac:dyDescent="0.3">
      <c r="A33" s="72">
        <v>247</v>
      </c>
      <c r="B33" s="72"/>
      <c r="C33" s="72"/>
      <c r="D33" s="72"/>
      <c r="E33" s="72"/>
      <c r="F33" s="72">
        <v>1</v>
      </c>
      <c r="G33" s="72">
        <v>1</v>
      </c>
      <c r="H33" s="72"/>
      <c r="I33" s="72"/>
      <c r="J33" s="72"/>
      <c r="K33" s="72"/>
      <c r="L33" s="72"/>
      <c r="M33" s="72">
        <v>7</v>
      </c>
      <c r="N33" s="72"/>
      <c r="O33" s="72"/>
      <c r="P33" s="72">
        <v>1</v>
      </c>
      <c r="Q33" s="72"/>
      <c r="R33" s="72"/>
      <c r="S33" s="72"/>
      <c r="T33" s="72"/>
    </row>
    <row r="34" spans="1:20" ht="15.6" x14ac:dyDescent="0.3">
      <c r="A34" s="72">
        <v>224</v>
      </c>
      <c r="B34" s="72"/>
      <c r="C34" s="72"/>
      <c r="D34" s="72"/>
      <c r="E34" s="72"/>
      <c r="F34" s="72">
        <v>1</v>
      </c>
      <c r="G34" s="72">
        <v>1</v>
      </c>
      <c r="H34" s="72"/>
      <c r="I34" s="72"/>
      <c r="J34" s="72"/>
      <c r="K34" s="72"/>
      <c r="L34" s="72"/>
      <c r="M34" s="72">
        <v>1</v>
      </c>
      <c r="N34" s="72"/>
      <c r="O34" s="72"/>
      <c r="P34" s="72"/>
      <c r="Q34" s="72"/>
      <c r="R34" s="72">
        <v>1</v>
      </c>
      <c r="S34" s="72"/>
      <c r="T34" s="72"/>
    </row>
    <row r="35" spans="1:20" ht="15.6" x14ac:dyDescent="0.3">
      <c r="A35" s="72">
        <v>222</v>
      </c>
      <c r="B35" s="72"/>
      <c r="C35" s="72"/>
      <c r="D35" s="72"/>
      <c r="E35" s="72"/>
      <c r="F35" s="72">
        <v>1</v>
      </c>
      <c r="G35" s="72">
        <v>1</v>
      </c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</row>
    <row r="36" spans="1:20" ht="15.6" x14ac:dyDescent="0.3">
      <c r="A36" s="72">
        <v>136</v>
      </c>
      <c r="B36" s="72">
        <v>1</v>
      </c>
      <c r="C36" s="72"/>
      <c r="D36" s="72"/>
      <c r="E36" s="72"/>
      <c r="F36" s="72">
        <v>1</v>
      </c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</row>
    <row r="37" spans="1:20" ht="15.6" x14ac:dyDescent="0.3">
      <c r="A37" s="72">
        <v>213</v>
      </c>
      <c r="B37" s="72"/>
      <c r="C37" s="72"/>
      <c r="D37" s="72">
        <v>2</v>
      </c>
      <c r="E37" s="72"/>
      <c r="F37" s="72">
        <v>1</v>
      </c>
      <c r="G37" s="72">
        <v>1</v>
      </c>
      <c r="H37" s="72"/>
      <c r="I37" s="72"/>
      <c r="J37" s="72"/>
      <c r="K37" s="72"/>
      <c r="L37" s="72">
        <v>2</v>
      </c>
      <c r="M37" s="72"/>
      <c r="N37" s="72"/>
      <c r="O37" s="72">
        <v>1</v>
      </c>
      <c r="P37" s="72"/>
      <c r="Q37" s="72"/>
      <c r="R37" s="72"/>
      <c r="S37" s="72"/>
      <c r="T37" s="72"/>
    </row>
    <row r="38" spans="1:20" ht="15.6" x14ac:dyDescent="0.3">
      <c r="A38" s="72">
        <v>212</v>
      </c>
      <c r="B38" s="72"/>
      <c r="C38" s="72"/>
      <c r="D38" s="72"/>
      <c r="E38" s="72">
        <v>1</v>
      </c>
      <c r="F38" s="72"/>
      <c r="G38" s="72">
        <v>1</v>
      </c>
      <c r="H38" s="72">
        <v>1</v>
      </c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</row>
    <row r="39" spans="1:20" ht="15.6" x14ac:dyDescent="0.3">
      <c r="A39" s="72">
        <v>209</v>
      </c>
      <c r="B39" s="72"/>
      <c r="C39" s="72"/>
      <c r="D39" s="72"/>
      <c r="E39" s="72"/>
      <c r="F39" s="72"/>
      <c r="G39" s="72">
        <v>1</v>
      </c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>
        <v>1</v>
      </c>
      <c r="S39" s="72"/>
      <c r="T39" s="72"/>
    </row>
    <row r="40" spans="1:20" ht="15.6" x14ac:dyDescent="0.3">
      <c r="A40" s="72">
        <v>45</v>
      </c>
      <c r="B40" s="72"/>
      <c r="C40" s="72"/>
      <c r="D40" s="72">
        <v>1</v>
      </c>
      <c r="E40" s="72"/>
      <c r="F40" s="72">
        <v>1</v>
      </c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>
        <v>1</v>
      </c>
      <c r="R40" s="72"/>
      <c r="S40" s="72"/>
      <c r="T40" s="72"/>
    </row>
    <row r="41" spans="1:20" ht="15.6" x14ac:dyDescent="0.3">
      <c r="A41" s="72">
        <v>219</v>
      </c>
      <c r="B41" s="72"/>
      <c r="C41" s="72"/>
      <c r="D41" s="72"/>
      <c r="E41" s="72"/>
      <c r="F41" s="72"/>
      <c r="G41" s="72">
        <v>1</v>
      </c>
      <c r="H41" s="72"/>
      <c r="I41" s="72">
        <v>2</v>
      </c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</row>
    <row r="42" spans="1:20" ht="15.6" x14ac:dyDescent="0.3">
      <c r="A42" s="72">
        <v>53</v>
      </c>
      <c r="B42" s="72"/>
      <c r="C42" s="72"/>
      <c r="D42" s="72"/>
      <c r="E42" s="72"/>
      <c r="F42" s="72">
        <v>1</v>
      </c>
      <c r="G42" s="72">
        <v>1</v>
      </c>
      <c r="H42" s="72"/>
      <c r="I42" s="72"/>
      <c r="J42" s="72"/>
      <c r="K42" s="72"/>
      <c r="L42" s="72"/>
      <c r="M42" s="72">
        <v>1</v>
      </c>
      <c r="N42" s="72"/>
      <c r="O42" s="72"/>
      <c r="P42" s="72">
        <v>1</v>
      </c>
      <c r="Q42" s="72"/>
      <c r="R42" s="72"/>
      <c r="S42" s="72"/>
      <c r="T42" s="72"/>
    </row>
    <row r="43" spans="1:20" ht="15.6" x14ac:dyDescent="0.3">
      <c r="A43" s="72">
        <v>241</v>
      </c>
      <c r="B43" s="72"/>
      <c r="C43" s="72"/>
      <c r="D43" s="72"/>
      <c r="E43" s="72">
        <v>1</v>
      </c>
      <c r="F43" s="72"/>
      <c r="G43" s="72">
        <v>1</v>
      </c>
      <c r="H43" s="72"/>
      <c r="I43" s="72"/>
      <c r="J43" s="72"/>
      <c r="K43" s="72"/>
      <c r="L43" s="72"/>
      <c r="M43" s="72">
        <v>1</v>
      </c>
      <c r="N43" s="72"/>
      <c r="O43" s="72"/>
      <c r="P43" s="72"/>
      <c r="Q43" s="72"/>
      <c r="R43" s="72"/>
      <c r="S43" s="72"/>
      <c r="T43" s="72"/>
    </row>
    <row r="44" spans="1:20" ht="15.6" x14ac:dyDescent="0.3">
      <c r="A44" s="72">
        <v>135</v>
      </c>
      <c r="B44" s="72"/>
      <c r="C44" s="72"/>
      <c r="D44" s="72"/>
      <c r="E44" s="72"/>
      <c r="F44" s="72"/>
      <c r="G44" s="72">
        <v>1</v>
      </c>
      <c r="H44" s="72"/>
      <c r="I44" s="72">
        <v>1</v>
      </c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</row>
    <row r="45" spans="1:20" ht="15.6" x14ac:dyDescent="0.3">
      <c r="A45" s="72">
        <v>137</v>
      </c>
      <c r="B45" s="72"/>
      <c r="C45" s="72"/>
      <c r="D45" s="72"/>
      <c r="E45" s="72">
        <v>1</v>
      </c>
      <c r="F45" s="72"/>
      <c r="G45" s="72">
        <v>1</v>
      </c>
      <c r="H45" s="72"/>
      <c r="I45" s="72"/>
      <c r="J45" s="72"/>
      <c r="K45" s="72"/>
      <c r="L45" s="72"/>
      <c r="M45" s="72">
        <v>6</v>
      </c>
      <c r="N45" s="72"/>
      <c r="O45" s="72"/>
      <c r="P45" s="72"/>
      <c r="Q45" s="72"/>
      <c r="R45" s="72"/>
      <c r="S45" s="72"/>
      <c r="T45" s="72"/>
    </row>
    <row r="46" spans="1:20" ht="15.6" x14ac:dyDescent="0.3">
      <c r="A46" s="72">
        <v>55</v>
      </c>
      <c r="B46" s="72"/>
      <c r="C46" s="72">
        <v>1</v>
      </c>
      <c r="D46" s="72"/>
      <c r="E46" s="72"/>
      <c r="F46" s="72">
        <v>1</v>
      </c>
      <c r="G46" s="72">
        <v>1</v>
      </c>
      <c r="H46" s="72"/>
      <c r="I46" s="72"/>
      <c r="J46" s="72"/>
      <c r="K46" s="72"/>
      <c r="L46" s="72">
        <v>1</v>
      </c>
      <c r="M46" s="72"/>
      <c r="N46" s="72"/>
      <c r="O46" s="72"/>
      <c r="P46" s="72"/>
      <c r="Q46" s="72"/>
      <c r="R46" s="72"/>
      <c r="S46" s="72"/>
      <c r="T46" s="72"/>
    </row>
    <row r="47" spans="1:20" ht="15.6" x14ac:dyDescent="0.3">
      <c r="A47" s="72" t="s">
        <v>66</v>
      </c>
      <c r="B47" s="72">
        <v>1</v>
      </c>
      <c r="C47" s="72"/>
      <c r="D47" s="72"/>
      <c r="E47" s="72"/>
      <c r="F47" s="72">
        <v>1</v>
      </c>
      <c r="G47" s="72"/>
      <c r="H47" s="72"/>
      <c r="I47" s="72"/>
      <c r="J47" s="72"/>
      <c r="K47" s="72"/>
      <c r="L47" s="72">
        <v>1</v>
      </c>
      <c r="M47" s="72"/>
      <c r="N47" s="72"/>
      <c r="O47" s="72"/>
      <c r="P47" s="72"/>
      <c r="Q47" s="72"/>
      <c r="R47" s="72">
        <v>1</v>
      </c>
      <c r="S47" s="72"/>
      <c r="T47" s="72"/>
    </row>
    <row r="48" spans="1:20" ht="15.6" x14ac:dyDescent="0.3">
      <c r="A48" s="72">
        <v>237</v>
      </c>
      <c r="B48" s="72"/>
      <c r="C48" s="72"/>
      <c r="D48" s="72"/>
      <c r="E48" s="72"/>
      <c r="F48" s="72"/>
      <c r="G48" s="72">
        <v>1</v>
      </c>
      <c r="H48" s="72"/>
      <c r="I48" s="72"/>
      <c r="J48" s="72"/>
      <c r="K48" s="72"/>
      <c r="L48" s="72"/>
      <c r="M48" s="72">
        <v>1</v>
      </c>
      <c r="N48" s="72"/>
      <c r="O48" s="72"/>
      <c r="P48" s="72"/>
      <c r="Q48" s="72"/>
      <c r="R48" s="72"/>
      <c r="S48" s="72"/>
      <c r="T48" s="72"/>
    </row>
    <row r="49" spans="1:20" ht="15.6" x14ac:dyDescent="0.3">
      <c r="A49" s="72">
        <v>231</v>
      </c>
      <c r="B49" s="72"/>
      <c r="C49" s="72"/>
      <c r="D49" s="72"/>
      <c r="E49" s="72">
        <v>1</v>
      </c>
      <c r="F49" s="72">
        <v>1</v>
      </c>
      <c r="G49" s="72"/>
      <c r="H49" s="72"/>
      <c r="I49" s="72"/>
      <c r="J49" s="72"/>
      <c r="K49" s="72"/>
      <c r="L49" s="72">
        <v>1</v>
      </c>
      <c r="M49" s="72"/>
      <c r="N49" s="72"/>
      <c r="O49" s="72"/>
      <c r="P49" s="72"/>
      <c r="Q49" s="72"/>
      <c r="R49" s="72"/>
      <c r="S49" s="72"/>
      <c r="T49" s="72"/>
    </row>
    <row r="50" spans="1:20" ht="15.6" x14ac:dyDescent="0.3">
      <c r="A50" s="72">
        <v>245</v>
      </c>
      <c r="B50" s="72"/>
      <c r="C50" s="72"/>
      <c r="D50" s="72"/>
      <c r="E50" s="72">
        <v>1</v>
      </c>
      <c r="F50" s="72">
        <v>1</v>
      </c>
      <c r="G50" s="72">
        <v>1</v>
      </c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>
        <v>1</v>
      </c>
      <c r="S50" s="72"/>
      <c r="T50" s="72"/>
    </row>
    <row r="51" spans="1:20" ht="15.6" x14ac:dyDescent="0.3">
      <c r="A51" s="72">
        <v>223</v>
      </c>
      <c r="B51" s="72"/>
      <c r="C51" s="72"/>
      <c r="D51" s="72"/>
      <c r="E51" s="72"/>
      <c r="F51" s="72"/>
      <c r="G51" s="72">
        <v>1</v>
      </c>
      <c r="H51" s="72"/>
      <c r="I51" s="72"/>
      <c r="J51" s="72"/>
      <c r="K51" s="72"/>
      <c r="L51" s="72"/>
      <c r="M51" s="72">
        <v>8</v>
      </c>
      <c r="N51" s="72"/>
      <c r="O51" s="72"/>
      <c r="P51" s="72"/>
      <c r="Q51" s="72"/>
      <c r="R51" s="72"/>
      <c r="S51" s="72"/>
      <c r="T51" s="72"/>
    </row>
    <row r="52" spans="1:20" ht="15.6" x14ac:dyDescent="0.3">
      <c r="A52" s="72">
        <v>214</v>
      </c>
      <c r="B52" s="72"/>
      <c r="C52" s="72"/>
      <c r="D52" s="72"/>
      <c r="E52" s="72">
        <v>1</v>
      </c>
      <c r="F52" s="72">
        <v>1</v>
      </c>
      <c r="G52" s="72"/>
      <c r="H52" s="72"/>
      <c r="I52" s="72"/>
      <c r="J52" s="72"/>
      <c r="K52" s="72"/>
      <c r="L52" s="72"/>
      <c r="M52" s="72"/>
      <c r="N52" s="72">
        <v>1</v>
      </c>
      <c r="O52" s="72"/>
      <c r="P52" s="72"/>
      <c r="Q52" s="72"/>
      <c r="R52" s="72"/>
      <c r="S52" s="72"/>
      <c r="T52" s="72"/>
    </row>
    <row r="53" spans="1:20" ht="15.6" x14ac:dyDescent="0.3">
      <c r="A53" s="72">
        <v>226</v>
      </c>
      <c r="B53" s="72"/>
      <c r="C53" s="72"/>
      <c r="D53" s="72"/>
      <c r="E53" s="72">
        <v>1</v>
      </c>
      <c r="F53" s="72">
        <v>1</v>
      </c>
      <c r="G53" s="72">
        <v>1</v>
      </c>
      <c r="H53" s="72"/>
      <c r="I53" s="72"/>
      <c r="J53" s="72"/>
      <c r="K53" s="72"/>
      <c r="L53" s="72"/>
      <c r="M53" s="72"/>
      <c r="N53" s="72">
        <v>1</v>
      </c>
      <c r="O53" s="72"/>
      <c r="P53" s="72"/>
      <c r="Q53" s="72"/>
      <c r="R53" s="72"/>
      <c r="S53" s="72"/>
      <c r="T53" s="72"/>
    </row>
    <row r="54" spans="1:20" ht="15.6" x14ac:dyDescent="0.3">
      <c r="A54" s="72">
        <v>252</v>
      </c>
      <c r="B54" s="72"/>
      <c r="C54" s="72"/>
      <c r="D54" s="72"/>
      <c r="E54" s="72">
        <v>1</v>
      </c>
      <c r="F54" s="72">
        <v>1</v>
      </c>
      <c r="G54" s="72">
        <v>1</v>
      </c>
      <c r="H54" s="72"/>
      <c r="I54" s="72"/>
      <c r="J54" s="72"/>
      <c r="K54" s="72"/>
      <c r="L54" s="72"/>
      <c r="M54" s="72"/>
      <c r="N54" s="72">
        <v>1</v>
      </c>
      <c r="O54" s="72"/>
      <c r="P54" s="72"/>
      <c r="Q54" s="72"/>
      <c r="R54" s="72"/>
      <c r="S54" s="72"/>
      <c r="T54" s="72"/>
    </row>
    <row r="55" spans="1:20" ht="15.6" x14ac:dyDescent="0.3">
      <c r="A55" s="72" t="s">
        <v>68</v>
      </c>
      <c r="B55" s="72"/>
      <c r="C55" s="72"/>
      <c r="D55" s="72"/>
      <c r="E55" s="72"/>
      <c r="F55" s="72"/>
      <c r="G55" s="72">
        <v>1</v>
      </c>
      <c r="H55" s="72"/>
      <c r="I55" s="72"/>
      <c r="J55" s="72"/>
      <c r="K55" s="72"/>
      <c r="L55" s="72">
        <v>1</v>
      </c>
      <c r="M55" s="72"/>
      <c r="N55" s="72"/>
      <c r="O55" s="72"/>
      <c r="P55" s="72"/>
      <c r="Q55" s="72"/>
      <c r="R55" s="72"/>
      <c r="S55" s="72"/>
      <c r="T55" s="72"/>
    </row>
    <row r="56" spans="1:20" ht="15.6" x14ac:dyDescent="0.3">
      <c r="A56" s="72">
        <v>230</v>
      </c>
      <c r="B56" s="72">
        <v>1</v>
      </c>
      <c r="C56" s="72"/>
      <c r="D56" s="72"/>
      <c r="E56" s="72"/>
      <c r="F56" s="72">
        <v>2</v>
      </c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</row>
    <row r="57" spans="1:20" ht="15.6" x14ac:dyDescent="0.3">
      <c r="A57" s="72">
        <v>248</v>
      </c>
      <c r="B57" s="72"/>
      <c r="C57" s="72">
        <v>1</v>
      </c>
      <c r="D57" s="72"/>
      <c r="E57" s="72"/>
      <c r="F57" s="72">
        <v>1</v>
      </c>
      <c r="G57" s="72"/>
      <c r="H57" s="72"/>
      <c r="I57" s="72"/>
      <c r="J57" s="72"/>
      <c r="K57" s="72"/>
      <c r="L57" s="72"/>
      <c r="M57" s="72"/>
      <c r="N57" s="72">
        <v>1</v>
      </c>
      <c r="O57" s="72"/>
      <c r="P57" s="72"/>
      <c r="Q57" s="72"/>
      <c r="R57" s="72">
        <v>2</v>
      </c>
      <c r="S57" s="72"/>
      <c r="T57" s="72"/>
    </row>
    <row r="58" spans="1:20" ht="15.6" x14ac:dyDescent="0.3">
      <c r="A58" s="72">
        <v>233</v>
      </c>
      <c r="B58" s="72"/>
      <c r="C58" s="72"/>
      <c r="D58" s="72"/>
      <c r="E58" s="72"/>
      <c r="F58" s="72">
        <v>1</v>
      </c>
      <c r="G58" s="72">
        <v>1</v>
      </c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</row>
    <row r="59" spans="1:20" ht="15.6" x14ac:dyDescent="0.3">
      <c r="A59" s="72">
        <v>215</v>
      </c>
      <c r="B59" s="72"/>
      <c r="C59" s="72"/>
      <c r="D59" s="72"/>
      <c r="E59" s="72">
        <v>1</v>
      </c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>
        <v>1</v>
      </c>
    </row>
    <row r="60" spans="1:20" ht="15.6" x14ac:dyDescent="0.3">
      <c r="A60" s="72">
        <v>249</v>
      </c>
      <c r="B60" s="72"/>
      <c r="C60" s="72"/>
      <c r="D60" s="72"/>
      <c r="E60" s="72"/>
      <c r="F60" s="72">
        <v>1</v>
      </c>
      <c r="G60" s="72">
        <v>1</v>
      </c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</row>
    <row r="61" spans="1:20" ht="15.6" x14ac:dyDescent="0.3">
      <c r="A61" s="72" t="s">
        <v>70</v>
      </c>
      <c r="B61" s="72">
        <v>1</v>
      </c>
      <c r="C61" s="72"/>
      <c r="D61" s="72"/>
      <c r="E61" s="72"/>
      <c r="F61" s="72">
        <v>1</v>
      </c>
      <c r="G61" s="72"/>
      <c r="H61" s="72"/>
      <c r="I61" s="72"/>
      <c r="J61" s="72"/>
      <c r="K61" s="72"/>
      <c r="L61" s="72"/>
      <c r="M61" s="72">
        <v>3</v>
      </c>
      <c r="N61" s="72">
        <v>1</v>
      </c>
      <c r="O61" s="72"/>
      <c r="P61" s="72"/>
      <c r="Q61" s="72"/>
      <c r="R61" s="72">
        <v>8</v>
      </c>
      <c r="S61" s="72"/>
      <c r="T61" s="72"/>
    </row>
    <row r="62" spans="1:20" ht="15.6" x14ac:dyDescent="0.3">
      <c r="A62" s="72" t="s">
        <v>72</v>
      </c>
      <c r="B62" s="72"/>
      <c r="C62" s="72"/>
      <c r="D62" s="72"/>
      <c r="E62" s="72"/>
      <c r="F62" s="72"/>
      <c r="G62" s="72"/>
      <c r="H62" s="72"/>
      <c r="I62" s="72"/>
      <c r="J62" s="72"/>
      <c r="K62" s="72">
        <v>1</v>
      </c>
      <c r="L62" s="72">
        <v>1</v>
      </c>
      <c r="M62" s="72"/>
      <c r="N62" s="72"/>
      <c r="O62" s="72"/>
      <c r="P62" s="72"/>
      <c r="Q62" s="72">
        <v>3</v>
      </c>
      <c r="R62" s="72">
        <v>2</v>
      </c>
      <c r="S62" s="72">
        <v>2</v>
      </c>
      <c r="T62" s="72"/>
    </row>
    <row r="63" spans="1:20" ht="15.6" x14ac:dyDescent="0.3">
      <c r="A63" s="72" t="s">
        <v>73</v>
      </c>
      <c r="B63" s="72">
        <v>1</v>
      </c>
      <c r="C63" s="72"/>
      <c r="D63" s="72"/>
      <c r="E63" s="72"/>
      <c r="F63" s="72"/>
      <c r="G63" s="72">
        <v>1</v>
      </c>
      <c r="H63" s="72">
        <v>1</v>
      </c>
      <c r="I63" s="72"/>
      <c r="J63" s="72"/>
      <c r="K63" s="72"/>
      <c r="L63" s="72"/>
      <c r="M63" s="72">
        <v>7</v>
      </c>
      <c r="N63" s="72"/>
      <c r="O63" s="72"/>
      <c r="P63" s="72"/>
      <c r="Q63" s="72"/>
      <c r="R63" s="72">
        <v>4</v>
      </c>
      <c r="S63" s="72"/>
      <c r="T63" s="72"/>
    </row>
    <row r="64" spans="1:20" ht="15.6" x14ac:dyDescent="0.3">
      <c r="A64" s="72">
        <v>244</v>
      </c>
      <c r="B64" s="72"/>
      <c r="C64" s="72"/>
      <c r="D64" s="72"/>
      <c r="E64" s="72"/>
      <c r="F64" s="72"/>
      <c r="G64" s="72">
        <v>1</v>
      </c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>
        <v>3</v>
      </c>
      <c r="S64" s="72"/>
      <c r="T64" s="72"/>
    </row>
    <row r="65" spans="1:20" ht="15.6" x14ac:dyDescent="0.3">
      <c r="A65" s="72" t="s">
        <v>74</v>
      </c>
      <c r="B65" s="72"/>
      <c r="C65" s="72">
        <v>1</v>
      </c>
      <c r="D65" s="72"/>
      <c r="E65" s="72"/>
      <c r="F65" s="72">
        <v>1</v>
      </c>
      <c r="G65" s="72"/>
      <c r="H65" s="72"/>
      <c r="I65" s="72"/>
      <c r="J65" s="72"/>
      <c r="K65" s="72"/>
      <c r="L65" s="72">
        <v>1</v>
      </c>
      <c r="M65" s="72"/>
      <c r="N65" s="72"/>
      <c r="O65" s="72"/>
      <c r="P65" s="72"/>
      <c r="Q65" s="72"/>
      <c r="R65" s="72">
        <v>1</v>
      </c>
      <c r="S65" s="72"/>
      <c r="T65" s="72"/>
    </row>
    <row r="66" spans="1:20" ht="15.6" x14ac:dyDescent="0.3">
      <c r="A66" s="72" t="s">
        <v>75</v>
      </c>
      <c r="B66" s="72"/>
      <c r="C66" s="72"/>
      <c r="D66" s="72"/>
      <c r="E66" s="72"/>
      <c r="F66" s="72"/>
      <c r="G66" s="72">
        <v>1</v>
      </c>
      <c r="H66" s="72"/>
      <c r="I66" s="72"/>
      <c r="J66" s="72"/>
      <c r="K66" s="72"/>
      <c r="L66" s="72"/>
      <c r="M66" s="72">
        <v>5</v>
      </c>
      <c r="N66" s="72"/>
      <c r="O66" s="72"/>
      <c r="P66" s="72"/>
      <c r="Q66" s="72"/>
      <c r="R66" s="72"/>
      <c r="S66" s="72"/>
      <c r="T66" s="72"/>
    </row>
    <row r="67" spans="1:20" ht="15.6" x14ac:dyDescent="0.3">
      <c r="A67" s="72">
        <v>228</v>
      </c>
      <c r="B67" s="72"/>
      <c r="C67" s="72"/>
      <c r="D67" s="72"/>
      <c r="E67" s="72">
        <v>1</v>
      </c>
      <c r="F67" s="72">
        <v>1</v>
      </c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</row>
    <row r="68" spans="1:20" ht="15.6" x14ac:dyDescent="0.3">
      <c r="A68" s="72" t="s">
        <v>76</v>
      </c>
      <c r="B68" s="72"/>
      <c r="C68" s="72"/>
      <c r="D68" s="72"/>
      <c r="E68" s="72">
        <v>1</v>
      </c>
      <c r="F68" s="72">
        <v>1</v>
      </c>
      <c r="G68" s="72">
        <v>1</v>
      </c>
      <c r="H68" s="72"/>
      <c r="I68" s="72"/>
      <c r="J68" s="72"/>
      <c r="K68" s="72"/>
      <c r="L68" s="72"/>
      <c r="M68" s="72">
        <v>6</v>
      </c>
      <c r="N68" s="72">
        <v>1</v>
      </c>
      <c r="O68" s="72"/>
      <c r="P68" s="72"/>
      <c r="Q68" s="72"/>
      <c r="R68" s="72">
        <v>3</v>
      </c>
      <c r="S68" s="72"/>
      <c r="T68" s="72"/>
    </row>
    <row r="69" spans="1:20" ht="15.6" x14ac:dyDescent="0.3">
      <c r="A69" s="72" t="s">
        <v>77</v>
      </c>
      <c r="B69" s="72"/>
      <c r="C69" s="72"/>
      <c r="D69" s="72"/>
      <c r="E69" s="72"/>
      <c r="F69" s="72"/>
      <c r="G69" s="72">
        <v>1</v>
      </c>
      <c r="H69" s="72">
        <v>1</v>
      </c>
      <c r="I69" s="72"/>
      <c r="J69" s="72"/>
      <c r="K69" s="72"/>
      <c r="L69" s="72"/>
      <c r="M69" s="72"/>
      <c r="N69" s="72">
        <v>1</v>
      </c>
      <c r="O69" s="72"/>
      <c r="P69" s="72"/>
      <c r="Q69" s="72"/>
      <c r="R69" s="72"/>
      <c r="S69" s="72"/>
      <c r="T69" s="72"/>
    </row>
    <row r="70" spans="1:20" ht="15.6" x14ac:dyDescent="0.3">
      <c r="A70" s="72" t="s">
        <v>78</v>
      </c>
      <c r="B70" s="72"/>
      <c r="C70" s="72"/>
      <c r="D70" s="72"/>
      <c r="E70" s="72"/>
      <c r="F70" s="72"/>
      <c r="G70" s="72"/>
      <c r="H70" s="72">
        <v>1</v>
      </c>
      <c r="I70" s="72"/>
      <c r="J70" s="72"/>
      <c r="K70" s="72"/>
      <c r="L70" s="72"/>
      <c r="M70" s="72"/>
      <c r="N70" s="72">
        <v>1</v>
      </c>
      <c r="O70" s="72"/>
      <c r="P70" s="72"/>
      <c r="Q70" s="72"/>
      <c r="R70" s="72"/>
      <c r="S70" s="72"/>
      <c r="T70" s="72"/>
    </row>
    <row r="71" spans="1:20" ht="15.6" x14ac:dyDescent="0.3">
      <c r="A71" s="72">
        <v>217</v>
      </c>
      <c r="B71" s="72"/>
      <c r="C71" s="72"/>
      <c r="D71" s="72"/>
      <c r="E71" s="72"/>
      <c r="F71" s="72">
        <v>2</v>
      </c>
      <c r="G71" s="72">
        <v>1</v>
      </c>
      <c r="H71" s="72">
        <v>1</v>
      </c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</row>
    <row r="72" spans="1:20" ht="15.6" x14ac:dyDescent="0.3">
      <c r="A72" s="72" t="s">
        <v>80</v>
      </c>
      <c r="B72" s="72"/>
      <c r="C72" s="72">
        <v>1</v>
      </c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>
        <v>1</v>
      </c>
      <c r="O72" s="72"/>
      <c r="P72" s="72"/>
      <c r="Q72" s="72"/>
      <c r="R72" s="72"/>
      <c r="S72" s="72"/>
      <c r="T72" s="72"/>
    </row>
    <row r="73" spans="1:20" ht="15.6" x14ac:dyDescent="0.3">
      <c r="A73" s="72" t="s">
        <v>81</v>
      </c>
      <c r="B73" s="72"/>
      <c r="C73" s="72">
        <v>1</v>
      </c>
      <c r="D73" s="72"/>
      <c r="E73" s="72"/>
      <c r="F73" s="72">
        <v>1</v>
      </c>
      <c r="G73" s="72"/>
      <c r="H73" s="72"/>
      <c r="I73" s="72">
        <v>1</v>
      </c>
      <c r="J73" s="72"/>
      <c r="K73" s="72"/>
      <c r="L73" s="72"/>
      <c r="M73" s="72"/>
      <c r="N73" s="72">
        <v>1</v>
      </c>
      <c r="O73" s="72"/>
      <c r="P73" s="72"/>
      <c r="Q73" s="72"/>
      <c r="R73" s="72">
        <v>2</v>
      </c>
      <c r="S73" s="72"/>
      <c r="T73" s="72"/>
    </row>
    <row r="74" spans="1:20" ht="15.6" x14ac:dyDescent="0.3">
      <c r="A74" s="72">
        <v>352</v>
      </c>
      <c r="B74" s="72"/>
      <c r="C74" s="72"/>
      <c r="D74" s="72">
        <v>1</v>
      </c>
      <c r="E74" s="72"/>
      <c r="F74" s="72"/>
      <c r="G74" s="72"/>
      <c r="H74" s="72"/>
      <c r="I74" s="72"/>
      <c r="J74" s="72"/>
      <c r="K74" s="72"/>
      <c r="L74" s="72"/>
      <c r="M74" s="72">
        <v>1</v>
      </c>
      <c r="N74" s="72">
        <v>1</v>
      </c>
      <c r="O74" s="72"/>
      <c r="P74" s="72">
        <v>1</v>
      </c>
      <c r="Q74" s="72"/>
      <c r="R74" s="72"/>
      <c r="S74" s="72"/>
      <c r="T74" s="72"/>
    </row>
    <row r="75" spans="1:20" ht="15.6" x14ac:dyDescent="0.3">
      <c r="A75" s="72">
        <v>332</v>
      </c>
      <c r="B75" s="72"/>
      <c r="C75" s="72"/>
      <c r="D75" s="72">
        <v>1</v>
      </c>
      <c r="E75" s="72"/>
      <c r="F75" s="72"/>
      <c r="G75" s="72"/>
      <c r="H75" s="72"/>
      <c r="I75" s="72"/>
      <c r="J75" s="72"/>
      <c r="K75" s="72"/>
      <c r="L75" s="72">
        <v>1</v>
      </c>
      <c r="M75" s="72"/>
      <c r="N75" s="72"/>
      <c r="O75" s="72"/>
      <c r="P75" s="72"/>
      <c r="Q75" s="72"/>
      <c r="R75" s="72"/>
      <c r="S75" s="72"/>
      <c r="T75" s="72"/>
    </row>
    <row r="76" spans="1:20" ht="15.6" x14ac:dyDescent="0.3">
      <c r="A76" s="72">
        <v>339</v>
      </c>
      <c r="B76" s="72"/>
      <c r="C76" s="72"/>
      <c r="D76" s="72">
        <v>1</v>
      </c>
      <c r="E76" s="72"/>
      <c r="F76" s="72">
        <v>1</v>
      </c>
      <c r="G76" s="72"/>
      <c r="H76" s="72"/>
      <c r="I76" s="72"/>
      <c r="J76" s="72"/>
      <c r="K76" s="72"/>
      <c r="L76" s="72">
        <v>1</v>
      </c>
      <c r="M76" s="72"/>
      <c r="N76" s="72"/>
      <c r="O76" s="72"/>
      <c r="P76" s="72"/>
      <c r="Q76" s="72"/>
      <c r="R76" s="72"/>
      <c r="S76" s="72"/>
      <c r="T76" s="72"/>
    </row>
    <row r="77" spans="1:20" ht="15.6" x14ac:dyDescent="0.3">
      <c r="A77" s="72">
        <v>347</v>
      </c>
      <c r="B77" s="72"/>
      <c r="C77" s="72"/>
      <c r="D77" s="72">
        <v>1</v>
      </c>
      <c r="E77" s="72"/>
      <c r="F77" s="72"/>
      <c r="G77" s="72"/>
      <c r="H77" s="72"/>
      <c r="I77" s="72"/>
      <c r="J77" s="72"/>
      <c r="K77" s="72"/>
      <c r="L77" s="72"/>
      <c r="M77" s="72">
        <v>3</v>
      </c>
      <c r="N77" s="72"/>
      <c r="O77" s="72"/>
      <c r="P77" s="72"/>
      <c r="Q77" s="72"/>
      <c r="R77" s="72"/>
      <c r="S77" s="72"/>
      <c r="T77" s="72"/>
    </row>
    <row r="78" spans="1:20" ht="15.6" x14ac:dyDescent="0.3">
      <c r="A78" s="72">
        <v>346</v>
      </c>
      <c r="B78" s="72"/>
      <c r="C78" s="72"/>
      <c r="D78" s="72">
        <v>1</v>
      </c>
      <c r="E78" s="72"/>
      <c r="F78" s="72"/>
      <c r="G78" s="72"/>
      <c r="H78" s="72"/>
      <c r="I78" s="72"/>
      <c r="J78" s="72"/>
      <c r="K78" s="72"/>
      <c r="L78" s="72"/>
      <c r="M78" s="72"/>
      <c r="N78" s="72">
        <v>1</v>
      </c>
      <c r="O78" s="72"/>
      <c r="P78" s="72"/>
      <c r="Q78" s="72"/>
      <c r="R78" s="72"/>
      <c r="S78" s="72"/>
      <c r="T78" s="72"/>
    </row>
    <row r="79" spans="1:20" ht="15.6" x14ac:dyDescent="0.3">
      <c r="A79" s="72">
        <v>353</v>
      </c>
      <c r="B79" s="72"/>
      <c r="C79" s="72"/>
      <c r="D79" s="72"/>
      <c r="E79" s="72">
        <v>1</v>
      </c>
      <c r="F79" s="72">
        <v>3</v>
      </c>
      <c r="G79" s="72"/>
      <c r="H79" s="72"/>
      <c r="I79" s="72"/>
      <c r="J79" s="72"/>
      <c r="K79" s="72"/>
      <c r="L79" s="72">
        <v>1</v>
      </c>
      <c r="M79" s="72"/>
      <c r="N79" s="72"/>
      <c r="O79" s="72"/>
      <c r="P79" s="72"/>
      <c r="Q79" s="72"/>
      <c r="R79" s="72">
        <v>9</v>
      </c>
      <c r="S79" s="72"/>
      <c r="T79" s="7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65"/>
  <sheetViews>
    <sheetView showGridLines="0" topLeftCell="Z1" zoomScale="76" zoomScaleNormal="80" workbookViewId="0">
      <pane ySplit="1" topLeftCell="A2" activePane="bottomLeft" state="frozen"/>
      <selection pane="bottomLeft" activeCell="I164" sqref="I164"/>
    </sheetView>
  </sheetViews>
  <sheetFormatPr defaultRowHeight="14.4" x14ac:dyDescent="0.3"/>
  <cols>
    <col min="5" max="5" width="10.5546875" customWidth="1"/>
    <col min="6" max="6" width="11.6640625" customWidth="1"/>
    <col min="11" max="11" width="10.44140625" customWidth="1"/>
    <col min="12" max="13" width="11.44140625" customWidth="1"/>
    <col min="14" max="14" width="9.6640625" customWidth="1"/>
    <col min="15" max="15" width="10.44140625" customWidth="1"/>
    <col min="16" max="16" width="10.109375" customWidth="1"/>
    <col min="17" max="17" width="11" customWidth="1"/>
    <col min="19" max="19" width="10.88671875" customWidth="1"/>
    <col min="20" max="20" width="10.5546875" customWidth="1"/>
    <col min="24" max="24" width="11" customWidth="1"/>
    <col min="30" max="30" width="10.44140625" customWidth="1"/>
    <col min="38" max="38" width="20" customWidth="1"/>
    <col min="39" max="39" width="28.109375" customWidth="1"/>
    <col min="40" max="40" width="21.88671875" customWidth="1"/>
    <col min="41" max="41" width="23.5546875" customWidth="1"/>
    <col min="42" max="42" width="15.44140625" customWidth="1"/>
  </cols>
  <sheetData>
    <row r="1" spans="1:43" x14ac:dyDescent="0.3">
      <c r="A1" s="7" t="s">
        <v>4</v>
      </c>
      <c r="B1" s="7" t="s">
        <v>6</v>
      </c>
      <c r="C1" s="7" t="s">
        <v>8</v>
      </c>
      <c r="D1" s="7" t="s">
        <v>10</v>
      </c>
      <c r="E1" s="7" t="s">
        <v>12</v>
      </c>
      <c r="F1" s="7" t="s">
        <v>14</v>
      </c>
      <c r="G1" s="7" t="s">
        <v>16</v>
      </c>
      <c r="H1" s="7" t="s">
        <v>18</v>
      </c>
      <c r="I1" s="7" t="s">
        <v>20</v>
      </c>
      <c r="J1" s="7" t="s">
        <v>22</v>
      </c>
      <c r="K1" s="7" t="s">
        <v>24</v>
      </c>
      <c r="L1" s="7" t="s">
        <v>32</v>
      </c>
      <c r="M1" s="7" t="s">
        <v>34</v>
      </c>
      <c r="N1" s="7" t="s">
        <v>36</v>
      </c>
      <c r="O1" s="7" t="s">
        <v>38</v>
      </c>
      <c r="P1" s="7" t="s">
        <v>40</v>
      </c>
      <c r="Q1" s="7" t="s">
        <v>42</v>
      </c>
      <c r="R1" s="6" t="s">
        <v>83</v>
      </c>
      <c r="S1" s="7" t="s">
        <v>6</v>
      </c>
      <c r="T1" s="7" t="s">
        <v>8</v>
      </c>
      <c r="U1" s="7" t="s">
        <v>10</v>
      </c>
      <c r="V1" s="7" t="s">
        <v>12</v>
      </c>
      <c r="W1" s="7" t="s">
        <v>14</v>
      </c>
      <c r="X1" s="7" t="s">
        <v>16</v>
      </c>
      <c r="Y1" s="7" t="s">
        <v>18</v>
      </c>
      <c r="Z1" s="7" t="s">
        <v>20</v>
      </c>
      <c r="AA1" s="7" t="s">
        <v>22</v>
      </c>
      <c r="AB1" s="7" t="s">
        <v>24</v>
      </c>
      <c r="AC1" s="7" t="s">
        <v>32</v>
      </c>
      <c r="AD1" s="7" t="s">
        <v>34</v>
      </c>
      <c r="AE1" s="7" t="s">
        <v>36</v>
      </c>
      <c r="AF1" s="7" t="s">
        <v>38</v>
      </c>
      <c r="AG1" s="7" t="s">
        <v>40</v>
      </c>
      <c r="AH1" s="7" t="s">
        <v>42</v>
      </c>
      <c r="AI1" s="6" t="s">
        <v>83</v>
      </c>
    </row>
    <row r="2" spans="1:43" x14ac:dyDescent="0.3">
      <c r="A2" s="1">
        <v>3</v>
      </c>
      <c r="B2" s="1"/>
      <c r="C2" s="1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>
        <v>1</v>
      </c>
      <c r="P2" s="1"/>
      <c r="Q2" s="1"/>
      <c r="R2" s="5">
        <f t="shared" ref="R2:R33" si="0">SUM(B2:Q2)</f>
        <v>2</v>
      </c>
      <c r="S2" s="5"/>
      <c r="T2" s="5"/>
      <c r="U2" s="58">
        <v>0.5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8">
        <v>0.5</v>
      </c>
      <c r="AG2" s="5"/>
      <c r="AH2" s="5"/>
      <c r="AI2" s="59">
        <f>SUM(S2:AH2)</f>
        <v>1</v>
      </c>
    </row>
    <row r="3" spans="1:43" x14ac:dyDescent="0.3">
      <c r="A3" s="1" t="s">
        <v>52</v>
      </c>
      <c r="B3" s="1"/>
      <c r="C3" s="1"/>
      <c r="D3" s="1"/>
      <c r="E3" s="1"/>
      <c r="F3" s="1">
        <v>2</v>
      </c>
      <c r="G3" s="1"/>
      <c r="H3" s="1"/>
      <c r="I3" s="1"/>
      <c r="J3" s="1"/>
      <c r="K3" s="1"/>
      <c r="L3" s="1"/>
      <c r="M3" s="1">
        <v>1</v>
      </c>
      <c r="N3" s="1"/>
      <c r="O3" s="1"/>
      <c r="P3" s="1"/>
      <c r="Q3" s="1"/>
      <c r="R3" s="5">
        <f t="shared" si="0"/>
        <v>3</v>
      </c>
      <c r="S3" s="5"/>
      <c r="T3" s="5"/>
      <c r="U3" s="5"/>
      <c r="V3" s="5"/>
      <c r="W3" s="58">
        <v>0.67</v>
      </c>
      <c r="X3" s="5"/>
      <c r="Y3" s="5"/>
      <c r="Z3" s="5"/>
      <c r="AA3" s="5"/>
      <c r="AB3" s="5"/>
      <c r="AC3" s="5"/>
      <c r="AD3" s="58">
        <v>0.33</v>
      </c>
      <c r="AE3" s="5"/>
      <c r="AF3" s="5"/>
      <c r="AG3" s="5"/>
      <c r="AH3" s="5"/>
      <c r="AI3" s="59">
        <f t="shared" ref="AI3:AI66" si="1">SUM(S3:AH3)</f>
        <v>1</v>
      </c>
    </row>
    <row r="4" spans="1:43" ht="19.8" x14ac:dyDescent="0.4">
      <c r="A4" s="1" t="s">
        <v>54</v>
      </c>
      <c r="B4" s="1"/>
      <c r="C4" s="1"/>
      <c r="D4" s="1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>
        <v>3</v>
      </c>
      <c r="P4" s="1"/>
      <c r="Q4" s="1"/>
      <c r="R4" s="5">
        <f t="shared" si="0"/>
        <v>4</v>
      </c>
      <c r="S4" s="5"/>
      <c r="T4" s="5"/>
      <c r="U4" s="58">
        <v>0.25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8">
        <v>0.75</v>
      </c>
      <c r="AG4" s="5"/>
      <c r="AH4" s="5"/>
      <c r="AI4" s="59">
        <f t="shared" si="1"/>
        <v>1</v>
      </c>
      <c r="AL4" s="133" t="s">
        <v>90</v>
      </c>
      <c r="AM4" s="133"/>
      <c r="AN4" s="132" t="s">
        <v>91</v>
      </c>
      <c r="AO4" s="132"/>
    </row>
    <row r="5" spans="1:43" x14ac:dyDescent="0.3">
      <c r="A5" s="1">
        <v>142</v>
      </c>
      <c r="B5" s="1"/>
      <c r="C5" s="1"/>
      <c r="D5" s="1"/>
      <c r="E5" s="1"/>
      <c r="F5" s="1">
        <v>2</v>
      </c>
      <c r="G5" s="1">
        <v>1</v>
      </c>
      <c r="H5" s="1"/>
      <c r="I5" s="1"/>
      <c r="J5" s="1"/>
      <c r="K5" s="1"/>
      <c r="L5" s="1"/>
      <c r="M5" s="1"/>
      <c r="N5" s="1"/>
      <c r="O5" s="1"/>
      <c r="P5" s="1"/>
      <c r="Q5" s="1"/>
      <c r="R5" s="5">
        <f t="shared" si="0"/>
        <v>3</v>
      </c>
      <c r="S5" s="5"/>
      <c r="T5" s="5"/>
      <c r="U5" s="5"/>
      <c r="V5" s="5"/>
      <c r="W5" s="58">
        <v>0.67</v>
      </c>
      <c r="X5" s="58">
        <v>0.33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9">
        <f t="shared" si="1"/>
        <v>1</v>
      </c>
      <c r="AL5" s="11" t="s">
        <v>85</v>
      </c>
      <c r="AM5" s="11" t="s">
        <v>86</v>
      </c>
      <c r="AN5" s="10" t="s">
        <v>85</v>
      </c>
      <c r="AO5" s="10" t="s">
        <v>86</v>
      </c>
      <c r="AQ5" s="9"/>
    </row>
    <row r="6" spans="1:43" x14ac:dyDescent="0.3">
      <c r="A6" s="1">
        <v>2</v>
      </c>
      <c r="B6" s="1"/>
      <c r="C6" s="1"/>
      <c r="D6" s="1">
        <v>1</v>
      </c>
      <c r="E6" s="1"/>
      <c r="F6" s="1">
        <v>1</v>
      </c>
      <c r="G6" s="1"/>
      <c r="H6" s="1"/>
      <c r="I6" s="1"/>
      <c r="J6" s="1"/>
      <c r="K6" s="1"/>
      <c r="L6" s="1"/>
      <c r="M6" s="1"/>
      <c r="N6" s="1"/>
      <c r="O6" s="1">
        <v>1</v>
      </c>
      <c r="P6" s="1"/>
      <c r="Q6" s="1"/>
      <c r="R6" s="5">
        <f t="shared" si="0"/>
        <v>3</v>
      </c>
      <c r="S6" s="5"/>
      <c r="T6" s="5"/>
      <c r="U6" s="58">
        <v>0.33</v>
      </c>
      <c r="V6" s="5"/>
      <c r="W6" s="58">
        <v>0.33</v>
      </c>
      <c r="X6" s="5"/>
      <c r="Y6" s="5"/>
      <c r="Z6" s="5"/>
      <c r="AA6" s="5"/>
      <c r="AB6" s="5"/>
      <c r="AC6" s="5"/>
      <c r="AD6" s="5"/>
      <c r="AE6" s="5"/>
      <c r="AF6" s="58">
        <v>0.33</v>
      </c>
      <c r="AG6" s="5"/>
      <c r="AH6" s="5"/>
      <c r="AI6" s="59">
        <f t="shared" si="1"/>
        <v>0.99</v>
      </c>
      <c r="AL6" s="1" t="s">
        <v>5</v>
      </c>
      <c r="AM6" s="13">
        <v>25.36</v>
      </c>
      <c r="AN6" s="1" t="s">
        <v>5</v>
      </c>
      <c r="AO6" s="12">
        <v>58.27</v>
      </c>
      <c r="AP6" s="4"/>
      <c r="AQ6" s="9"/>
    </row>
    <row r="7" spans="1:43" x14ac:dyDescent="0.3">
      <c r="A7" s="1" t="s">
        <v>58</v>
      </c>
      <c r="B7" s="1"/>
      <c r="C7" s="1"/>
      <c r="D7" s="1"/>
      <c r="E7" s="1"/>
      <c r="F7" s="1">
        <v>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5">
        <f t="shared" si="0"/>
        <v>1</v>
      </c>
      <c r="S7" s="5"/>
      <c r="T7" s="5"/>
      <c r="U7" s="5"/>
      <c r="V7" s="5"/>
      <c r="W7" s="58">
        <v>1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9">
        <f t="shared" si="1"/>
        <v>1</v>
      </c>
      <c r="AL7" s="1" t="s">
        <v>7</v>
      </c>
      <c r="AM7" s="13">
        <v>47</v>
      </c>
      <c r="AN7" s="1" t="s">
        <v>7</v>
      </c>
      <c r="AO7" s="12">
        <v>91.37</v>
      </c>
      <c r="AP7" s="4"/>
      <c r="AQ7" s="9"/>
    </row>
    <row r="8" spans="1:43" x14ac:dyDescent="0.3">
      <c r="A8" s="1">
        <v>161</v>
      </c>
      <c r="B8" s="1"/>
      <c r="C8" s="1">
        <v>1</v>
      </c>
      <c r="D8" s="1"/>
      <c r="E8" s="1"/>
      <c r="F8" s="1">
        <v>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5">
        <f t="shared" si="0"/>
        <v>2</v>
      </c>
      <c r="S8" s="5"/>
      <c r="T8" s="58">
        <v>0.5</v>
      </c>
      <c r="U8" s="5"/>
      <c r="V8" s="5"/>
      <c r="W8" s="58">
        <v>0.5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9">
        <f t="shared" si="1"/>
        <v>1</v>
      </c>
      <c r="AL8" s="1" t="s">
        <v>9</v>
      </c>
      <c r="AM8" s="13">
        <v>45.88</v>
      </c>
      <c r="AN8" s="1" t="s">
        <v>9</v>
      </c>
      <c r="AO8" s="12">
        <v>74.63</v>
      </c>
      <c r="AP8" s="4"/>
      <c r="AQ8" s="9"/>
    </row>
    <row r="9" spans="1:43" x14ac:dyDescent="0.3">
      <c r="A9" s="1">
        <v>172</v>
      </c>
      <c r="B9" s="1">
        <v>1</v>
      </c>
      <c r="C9" s="1"/>
      <c r="D9" s="1"/>
      <c r="E9" s="1"/>
      <c r="F9" s="1">
        <v>1</v>
      </c>
      <c r="G9" s="1"/>
      <c r="H9" s="1">
        <v>1</v>
      </c>
      <c r="I9" s="1"/>
      <c r="J9" s="1"/>
      <c r="K9" s="1"/>
      <c r="L9" s="1"/>
      <c r="M9" s="1"/>
      <c r="N9" s="1"/>
      <c r="O9" s="1"/>
      <c r="P9" s="1"/>
      <c r="Q9" s="1"/>
      <c r="R9" s="5">
        <f t="shared" si="0"/>
        <v>3</v>
      </c>
      <c r="S9" s="58">
        <v>0.33</v>
      </c>
      <c r="T9" s="5"/>
      <c r="U9" s="5"/>
      <c r="V9" s="5"/>
      <c r="W9" s="58">
        <v>0.33</v>
      </c>
      <c r="X9" s="5"/>
      <c r="Y9" s="58">
        <v>0.33</v>
      </c>
      <c r="Z9" s="5"/>
      <c r="AA9" s="5"/>
      <c r="AB9" s="5"/>
      <c r="AC9" s="5"/>
      <c r="AD9" s="5"/>
      <c r="AE9" s="5"/>
      <c r="AF9" s="5"/>
      <c r="AG9" s="5"/>
      <c r="AH9" s="5"/>
      <c r="AI9" s="59">
        <f t="shared" si="1"/>
        <v>0.99</v>
      </c>
      <c r="AL9" s="1" t="s">
        <v>11</v>
      </c>
      <c r="AM9" s="13">
        <v>34.08</v>
      </c>
      <c r="AN9" s="1" t="s">
        <v>11</v>
      </c>
      <c r="AO9" s="12">
        <v>74.23</v>
      </c>
      <c r="AP9" s="4"/>
      <c r="AQ9" s="9"/>
    </row>
    <row r="10" spans="1:43" x14ac:dyDescent="0.3">
      <c r="A10" s="1">
        <v>169</v>
      </c>
      <c r="B10" s="1"/>
      <c r="C10" s="1"/>
      <c r="D10" s="1"/>
      <c r="E10" s="1"/>
      <c r="F10" s="1">
        <v>3</v>
      </c>
      <c r="G10" s="1"/>
      <c r="H10" s="1"/>
      <c r="I10" s="1"/>
      <c r="J10" s="1"/>
      <c r="K10" s="1"/>
      <c r="L10" s="1"/>
      <c r="M10" s="1">
        <v>1</v>
      </c>
      <c r="N10" s="1"/>
      <c r="O10" s="1"/>
      <c r="P10" s="1"/>
      <c r="Q10" s="1"/>
      <c r="R10" s="5">
        <f t="shared" si="0"/>
        <v>4</v>
      </c>
      <c r="S10" s="5"/>
      <c r="T10" s="5"/>
      <c r="U10" s="5"/>
      <c r="V10" s="5"/>
      <c r="W10" s="58">
        <v>0.75</v>
      </c>
      <c r="X10" s="5"/>
      <c r="Y10" s="5"/>
      <c r="Z10" s="5"/>
      <c r="AA10" s="5"/>
      <c r="AB10" s="5"/>
      <c r="AC10" s="5"/>
      <c r="AD10" s="58">
        <v>0.25</v>
      </c>
      <c r="AE10" s="5"/>
      <c r="AF10" s="5"/>
      <c r="AG10" s="5"/>
      <c r="AH10" s="5"/>
      <c r="AI10" s="59">
        <f t="shared" si="1"/>
        <v>1</v>
      </c>
      <c r="AL10" s="1" t="s">
        <v>13</v>
      </c>
      <c r="AM10" s="13">
        <v>39.15</v>
      </c>
      <c r="AN10" s="1" t="s">
        <v>13</v>
      </c>
      <c r="AO10" s="12">
        <v>21.09</v>
      </c>
      <c r="AP10" s="4"/>
      <c r="AQ10" s="9"/>
    </row>
    <row r="11" spans="1:43" x14ac:dyDescent="0.3">
      <c r="A11" s="1" t="s">
        <v>60</v>
      </c>
      <c r="B11" s="1"/>
      <c r="C11" s="1"/>
      <c r="D11" s="1"/>
      <c r="E11" s="1"/>
      <c r="F11" s="1">
        <v>1</v>
      </c>
      <c r="G11" s="1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5">
        <f t="shared" si="0"/>
        <v>2</v>
      </c>
      <c r="S11" s="5"/>
      <c r="T11" s="5"/>
      <c r="U11" s="5"/>
      <c r="V11" s="5"/>
      <c r="W11" s="58">
        <v>0.5</v>
      </c>
      <c r="X11" s="58">
        <v>0.5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9">
        <f t="shared" si="1"/>
        <v>1</v>
      </c>
      <c r="AL11" s="1" t="s">
        <v>15</v>
      </c>
      <c r="AM11" s="13">
        <v>47.39</v>
      </c>
      <c r="AN11" s="1" t="s">
        <v>15</v>
      </c>
      <c r="AO11" s="12">
        <v>65.48</v>
      </c>
      <c r="AP11" s="4"/>
      <c r="AQ11" s="9"/>
    </row>
    <row r="12" spans="1:43" x14ac:dyDescent="0.3">
      <c r="A12" s="1">
        <v>173</v>
      </c>
      <c r="B12" s="1"/>
      <c r="C12" s="1"/>
      <c r="D12" s="1"/>
      <c r="E12" s="1"/>
      <c r="F12" s="1"/>
      <c r="G12" s="1"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5">
        <f t="shared" si="0"/>
        <v>1</v>
      </c>
      <c r="S12" s="5"/>
      <c r="T12" s="5"/>
      <c r="U12" s="5"/>
      <c r="V12" s="5"/>
      <c r="W12" s="5"/>
      <c r="X12" s="58">
        <v>1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9">
        <f t="shared" si="1"/>
        <v>1</v>
      </c>
      <c r="AL12" s="1" t="s">
        <v>17</v>
      </c>
      <c r="AM12" s="13">
        <v>37.03</v>
      </c>
      <c r="AN12" s="1" t="s">
        <v>17</v>
      </c>
      <c r="AO12" s="12">
        <v>24.62</v>
      </c>
      <c r="AP12" s="4"/>
      <c r="AQ12" s="9"/>
    </row>
    <row r="13" spans="1:43" x14ac:dyDescent="0.3">
      <c r="A13" s="1">
        <v>251</v>
      </c>
      <c r="B13" s="1"/>
      <c r="C13" s="1"/>
      <c r="D13" s="1">
        <v>1</v>
      </c>
      <c r="E13" s="1">
        <v>1</v>
      </c>
      <c r="F13" s="1">
        <v>1</v>
      </c>
      <c r="G13" s="1"/>
      <c r="H13" s="1"/>
      <c r="I13" s="1"/>
      <c r="J13" s="1">
        <v>1</v>
      </c>
      <c r="K13" s="1"/>
      <c r="L13" s="1"/>
      <c r="M13" s="1"/>
      <c r="N13" s="1"/>
      <c r="O13" s="1">
        <v>3</v>
      </c>
      <c r="P13" s="1"/>
      <c r="Q13" s="1"/>
      <c r="R13" s="5">
        <f t="shared" si="0"/>
        <v>7</v>
      </c>
      <c r="S13" s="59"/>
      <c r="T13" s="13"/>
      <c r="U13" s="59">
        <f>D13/$R$13</f>
        <v>0.14285714285714285</v>
      </c>
      <c r="V13" s="59">
        <f t="shared" ref="V13:AA13" si="2">E13/$R$13</f>
        <v>0.14285714285714285</v>
      </c>
      <c r="W13" s="59">
        <f t="shared" si="2"/>
        <v>0.14285714285714285</v>
      </c>
      <c r="X13" s="59"/>
      <c r="Y13" s="59"/>
      <c r="Z13" s="59"/>
      <c r="AA13" s="59">
        <f t="shared" si="2"/>
        <v>0.14285714285714285</v>
      </c>
      <c r="AB13" s="59"/>
      <c r="AC13" s="59"/>
      <c r="AD13" s="59"/>
      <c r="AE13" s="59"/>
      <c r="AF13" s="59">
        <f t="shared" ref="AF13" si="3">O13/$R$13</f>
        <v>0.42857142857142855</v>
      </c>
      <c r="AG13" s="59"/>
      <c r="AH13" s="59"/>
      <c r="AI13" s="59">
        <f t="shared" si="1"/>
        <v>1</v>
      </c>
      <c r="AL13" s="1" t="s">
        <v>19</v>
      </c>
      <c r="AM13" s="13">
        <v>45.56</v>
      </c>
      <c r="AN13" s="1" t="s">
        <v>19</v>
      </c>
      <c r="AO13" s="12">
        <v>53.99</v>
      </c>
      <c r="AP13" s="4"/>
      <c r="AQ13" s="9"/>
    </row>
    <row r="14" spans="1:43" x14ac:dyDescent="0.3">
      <c r="A14" s="1">
        <v>4</v>
      </c>
      <c r="B14" s="1"/>
      <c r="C14" s="1"/>
      <c r="D14" s="1">
        <v>1</v>
      </c>
      <c r="E14" s="1">
        <v>1</v>
      </c>
      <c r="F14" s="1"/>
      <c r="G14" s="1">
        <v>1</v>
      </c>
      <c r="H14" s="1"/>
      <c r="I14" s="1"/>
      <c r="J14" s="1"/>
      <c r="K14" s="1">
        <v>4</v>
      </c>
      <c r="L14" s="1"/>
      <c r="M14" s="1"/>
      <c r="N14" s="1"/>
      <c r="O14" s="1"/>
      <c r="P14" s="1"/>
      <c r="Q14" s="1"/>
      <c r="R14" s="5">
        <f t="shared" si="0"/>
        <v>7</v>
      </c>
      <c r="S14" s="59"/>
      <c r="T14" s="59"/>
      <c r="U14" s="59">
        <f t="shared" ref="U14:AB14" si="4">D14/$R$14</f>
        <v>0.14285714285714285</v>
      </c>
      <c r="V14" s="59">
        <f t="shared" si="4"/>
        <v>0.14285714285714285</v>
      </c>
      <c r="W14" s="59"/>
      <c r="X14" s="59">
        <f t="shared" si="4"/>
        <v>0.14285714285714285</v>
      </c>
      <c r="Y14" s="59"/>
      <c r="Z14" s="59"/>
      <c r="AA14" s="59"/>
      <c r="AB14" s="59">
        <f t="shared" si="4"/>
        <v>0.5714285714285714</v>
      </c>
      <c r="AC14" s="59"/>
      <c r="AD14" s="59"/>
      <c r="AE14" s="59"/>
      <c r="AF14" s="59"/>
      <c r="AG14" s="59"/>
      <c r="AH14" s="59"/>
      <c r="AI14" s="59">
        <f t="shared" si="1"/>
        <v>1</v>
      </c>
      <c r="AL14" s="1" t="s">
        <v>21</v>
      </c>
      <c r="AM14" s="13">
        <v>14.29</v>
      </c>
      <c r="AN14" s="1" t="s">
        <v>21</v>
      </c>
      <c r="AO14" s="12">
        <v>0.16</v>
      </c>
      <c r="AP14" s="4"/>
      <c r="AQ14" s="9"/>
    </row>
    <row r="15" spans="1:43" x14ac:dyDescent="0.3">
      <c r="A15" s="1">
        <v>232</v>
      </c>
      <c r="B15" s="1"/>
      <c r="C15" s="1">
        <v>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>
        <v>3</v>
      </c>
      <c r="O15" s="1"/>
      <c r="P15" s="1"/>
      <c r="Q15" s="1"/>
      <c r="R15" s="5">
        <f t="shared" si="0"/>
        <v>4</v>
      </c>
      <c r="S15" s="59"/>
      <c r="T15" s="59">
        <f t="shared" ref="T15:X15" si="5">C15/$R$15</f>
        <v>0.25</v>
      </c>
      <c r="U15" s="59"/>
      <c r="V15" s="59"/>
      <c r="W15" s="59"/>
      <c r="X15" s="59">
        <f t="shared" si="5"/>
        <v>0</v>
      </c>
      <c r="Y15" s="59"/>
      <c r="Z15" s="59"/>
      <c r="AA15" s="59"/>
      <c r="AB15" s="59"/>
      <c r="AC15" s="59"/>
      <c r="AD15" s="59"/>
      <c r="AE15" s="59">
        <f t="shared" ref="AE15" si="6">N15/$R$15</f>
        <v>0.75</v>
      </c>
      <c r="AF15" s="59"/>
      <c r="AG15" s="59"/>
      <c r="AH15" s="59"/>
      <c r="AI15" s="59">
        <f t="shared" si="1"/>
        <v>1</v>
      </c>
      <c r="AL15" s="1" t="s">
        <v>23</v>
      </c>
      <c r="AM15" s="13">
        <v>34.33</v>
      </c>
      <c r="AN15" s="1" t="s">
        <v>23</v>
      </c>
      <c r="AO15" s="12">
        <v>1.58</v>
      </c>
      <c r="AP15" s="4"/>
      <c r="AQ15" s="9"/>
    </row>
    <row r="16" spans="1:43" x14ac:dyDescent="0.3">
      <c r="A16" s="1">
        <v>242</v>
      </c>
      <c r="B16" s="1"/>
      <c r="C16" s="1">
        <v>1</v>
      </c>
      <c r="D16" s="1"/>
      <c r="E16" s="1"/>
      <c r="F16" s="1">
        <v>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5">
        <f t="shared" si="0"/>
        <v>2</v>
      </c>
      <c r="S16" s="59"/>
      <c r="T16" s="59">
        <f t="shared" ref="T16:W16" si="7">C16/$R$16</f>
        <v>0.5</v>
      </c>
      <c r="U16" s="59"/>
      <c r="V16" s="59"/>
      <c r="W16" s="59">
        <f t="shared" si="7"/>
        <v>0.5</v>
      </c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>
        <f t="shared" si="1"/>
        <v>1</v>
      </c>
      <c r="AL16" s="1" t="s">
        <v>31</v>
      </c>
      <c r="AM16" s="13">
        <v>20</v>
      </c>
      <c r="AN16" s="1" t="s">
        <v>31</v>
      </c>
      <c r="AO16" s="12">
        <v>2.3199999999999998</v>
      </c>
      <c r="AP16" s="4"/>
      <c r="AQ16" s="9"/>
    </row>
    <row r="17" spans="1:43" x14ac:dyDescent="0.3">
      <c r="A17" s="1">
        <v>234</v>
      </c>
      <c r="B17" s="1"/>
      <c r="C17" s="1"/>
      <c r="D17" s="1"/>
      <c r="E17" s="1"/>
      <c r="F17" s="1"/>
      <c r="G17" s="1">
        <v>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5">
        <f t="shared" si="0"/>
        <v>1</v>
      </c>
      <c r="S17" s="59"/>
      <c r="T17" s="59"/>
      <c r="U17" s="59"/>
      <c r="V17" s="59"/>
      <c r="W17" s="59"/>
      <c r="X17" s="59">
        <f t="shared" ref="X17" si="8">G17/$R$17</f>
        <v>1</v>
      </c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>
        <f t="shared" si="1"/>
        <v>1</v>
      </c>
      <c r="AL17" s="1" t="s">
        <v>33</v>
      </c>
      <c r="AM17" s="13">
        <v>34.93</v>
      </c>
      <c r="AN17" s="1" t="s">
        <v>33</v>
      </c>
      <c r="AO17" s="12">
        <v>0.56000000000000005</v>
      </c>
      <c r="AP17" s="4"/>
      <c r="AQ17" s="9"/>
    </row>
    <row r="18" spans="1:43" x14ac:dyDescent="0.3">
      <c r="A18" s="1">
        <v>218</v>
      </c>
      <c r="B18" s="1"/>
      <c r="C18" s="1"/>
      <c r="D18" s="1"/>
      <c r="E18" s="1"/>
      <c r="F18" s="1">
        <v>1</v>
      </c>
      <c r="G18" s="1">
        <v>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5">
        <f t="shared" si="0"/>
        <v>2</v>
      </c>
      <c r="S18" s="59"/>
      <c r="T18" s="59"/>
      <c r="U18" s="59"/>
      <c r="V18" s="59"/>
      <c r="W18" s="59">
        <f t="shared" ref="W18:X18" si="9">F18/$R$18</f>
        <v>0.5</v>
      </c>
      <c r="X18" s="59">
        <f t="shared" si="9"/>
        <v>0.5</v>
      </c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>
        <f t="shared" si="1"/>
        <v>1</v>
      </c>
      <c r="AL18" s="1" t="s">
        <v>35</v>
      </c>
      <c r="AM18" s="13">
        <v>48.61</v>
      </c>
      <c r="AN18" s="1" t="s">
        <v>35</v>
      </c>
      <c r="AO18" s="12">
        <v>29.27</v>
      </c>
      <c r="AP18" s="4"/>
      <c r="AQ18" s="9"/>
    </row>
    <row r="19" spans="1:43" x14ac:dyDescent="0.3">
      <c r="A19" s="1">
        <v>229</v>
      </c>
      <c r="B19" s="1"/>
      <c r="C19" s="1"/>
      <c r="D19" s="1"/>
      <c r="E19" s="1"/>
      <c r="F19" s="1"/>
      <c r="G19" s="1">
        <v>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5">
        <f t="shared" si="0"/>
        <v>1</v>
      </c>
      <c r="S19" s="59"/>
      <c r="T19" s="59"/>
      <c r="U19" s="59"/>
      <c r="V19" s="59"/>
      <c r="W19" s="59"/>
      <c r="X19" s="59">
        <f t="shared" ref="X19" si="10">G19/$R$19</f>
        <v>1</v>
      </c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>
        <f t="shared" si="1"/>
        <v>1</v>
      </c>
      <c r="AL19" s="1" t="s">
        <v>37</v>
      </c>
      <c r="AM19" s="13">
        <v>50.25</v>
      </c>
      <c r="AN19" s="1" t="s">
        <v>37</v>
      </c>
      <c r="AO19" s="12">
        <v>0.66</v>
      </c>
      <c r="AP19" s="4"/>
      <c r="AQ19" s="9"/>
    </row>
    <row r="20" spans="1:43" x14ac:dyDescent="0.3">
      <c r="A20" s="1">
        <v>246</v>
      </c>
      <c r="B20" s="1">
        <v>1</v>
      </c>
      <c r="C20" s="1"/>
      <c r="D20" s="1"/>
      <c r="E20" s="1"/>
      <c r="F20" s="1">
        <v>3</v>
      </c>
      <c r="G20" s="1"/>
      <c r="H20" s="1">
        <v>1</v>
      </c>
      <c r="I20" s="1"/>
      <c r="J20" s="1"/>
      <c r="K20" s="1"/>
      <c r="L20" s="1"/>
      <c r="M20" s="1"/>
      <c r="N20" s="1"/>
      <c r="O20" s="1">
        <v>23</v>
      </c>
      <c r="P20" s="1"/>
      <c r="Q20" s="1"/>
      <c r="R20" s="5">
        <f t="shared" si="0"/>
        <v>28</v>
      </c>
      <c r="S20" s="59">
        <f>B20/$R$20</f>
        <v>3.5714285714285712E-2</v>
      </c>
      <c r="T20" s="59"/>
      <c r="U20" s="59"/>
      <c r="V20" s="59"/>
      <c r="W20" s="59">
        <f t="shared" ref="W20:AF20" si="11">F20/$R$20</f>
        <v>0.10714285714285714</v>
      </c>
      <c r="X20" s="59"/>
      <c r="Y20" s="59">
        <f t="shared" si="11"/>
        <v>3.5714285714285712E-2</v>
      </c>
      <c r="Z20" s="59"/>
      <c r="AA20" s="59"/>
      <c r="AB20" s="59"/>
      <c r="AC20" s="59"/>
      <c r="AD20" s="59"/>
      <c r="AE20" s="59"/>
      <c r="AF20" s="59">
        <f t="shared" si="11"/>
        <v>0.8214285714285714</v>
      </c>
      <c r="AG20" s="59"/>
      <c r="AH20" s="59"/>
      <c r="AI20" s="59">
        <f t="shared" si="1"/>
        <v>1</v>
      </c>
      <c r="AL20" s="1" t="s">
        <v>39</v>
      </c>
      <c r="AM20" s="13">
        <v>25</v>
      </c>
      <c r="AN20" s="1" t="s">
        <v>39</v>
      </c>
      <c r="AO20" s="12">
        <v>19.55</v>
      </c>
      <c r="AP20" s="4"/>
      <c r="AQ20" s="9"/>
    </row>
    <row r="21" spans="1:43" x14ac:dyDescent="0.3">
      <c r="A21" s="1">
        <v>253</v>
      </c>
      <c r="B21" s="1"/>
      <c r="C21" s="1"/>
      <c r="D21" s="1">
        <v>1</v>
      </c>
      <c r="E21" s="1"/>
      <c r="F21" s="1">
        <v>1</v>
      </c>
      <c r="G21" s="1">
        <v>1</v>
      </c>
      <c r="H21" s="1"/>
      <c r="I21" s="1"/>
      <c r="J21" s="1"/>
      <c r="K21" s="1"/>
      <c r="L21" s="1"/>
      <c r="M21" s="1"/>
      <c r="N21" s="1"/>
      <c r="O21" s="1">
        <v>2</v>
      </c>
      <c r="P21" s="1"/>
      <c r="Q21" s="1"/>
      <c r="R21" s="5">
        <f t="shared" si="0"/>
        <v>5</v>
      </c>
      <c r="S21" s="59"/>
      <c r="T21" s="59"/>
      <c r="U21" s="59">
        <f t="shared" ref="U21:AF21" si="12">D21/$R$21</f>
        <v>0.2</v>
      </c>
      <c r="V21" s="59"/>
      <c r="W21" s="59">
        <f t="shared" si="12"/>
        <v>0.2</v>
      </c>
      <c r="X21" s="59">
        <f t="shared" si="12"/>
        <v>0.2</v>
      </c>
      <c r="Y21" s="59"/>
      <c r="Z21" s="59"/>
      <c r="AA21" s="59"/>
      <c r="AB21" s="59"/>
      <c r="AC21" s="59"/>
      <c r="AD21" s="59"/>
      <c r="AE21" s="59"/>
      <c r="AF21" s="59">
        <f t="shared" si="12"/>
        <v>0.4</v>
      </c>
      <c r="AG21" s="59"/>
      <c r="AH21" s="59"/>
      <c r="AI21" s="59">
        <f t="shared" si="1"/>
        <v>1</v>
      </c>
      <c r="AL21" s="1" t="s">
        <v>41</v>
      </c>
      <c r="AM21" s="13">
        <v>50</v>
      </c>
      <c r="AN21" s="1" t="s">
        <v>41</v>
      </c>
      <c r="AO21" s="12">
        <v>0.64</v>
      </c>
      <c r="AP21" s="4"/>
      <c r="AQ21" s="9"/>
    </row>
    <row r="22" spans="1:43" x14ac:dyDescent="0.3">
      <c r="A22" s="1">
        <v>243</v>
      </c>
      <c r="B22" s="1"/>
      <c r="C22" s="1"/>
      <c r="D22" s="1"/>
      <c r="E22" s="1"/>
      <c r="F22" s="1">
        <v>1</v>
      </c>
      <c r="G22" s="1">
        <v>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5">
        <f t="shared" si="0"/>
        <v>2</v>
      </c>
      <c r="S22" s="59"/>
      <c r="T22" s="59"/>
      <c r="U22" s="59"/>
      <c r="V22" s="59"/>
      <c r="W22" s="59">
        <f t="shared" ref="W22:X22" si="13">F22/$R$22</f>
        <v>0.5</v>
      </c>
      <c r="X22" s="59">
        <f t="shared" si="13"/>
        <v>0.5</v>
      </c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>
        <f t="shared" si="1"/>
        <v>1</v>
      </c>
      <c r="AL22" s="2"/>
      <c r="AO22" s="3"/>
      <c r="AQ22" s="9"/>
    </row>
    <row r="23" spans="1:43" x14ac:dyDescent="0.3">
      <c r="A23" s="1">
        <v>239</v>
      </c>
      <c r="B23" s="1"/>
      <c r="C23" s="1"/>
      <c r="D23" s="1">
        <v>1</v>
      </c>
      <c r="E23" s="1"/>
      <c r="F23" s="1">
        <v>1</v>
      </c>
      <c r="G23" s="1"/>
      <c r="H23" s="1"/>
      <c r="I23" s="1"/>
      <c r="J23" s="1"/>
      <c r="K23" s="1"/>
      <c r="L23" s="1"/>
      <c r="M23" s="1"/>
      <c r="N23" s="1"/>
      <c r="O23" s="1">
        <v>1</v>
      </c>
      <c r="P23" s="1"/>
      <c r="Q23" s="1"/>
      <c r="R23" s="5">
        <f t="shared" si="0"/>
        <v>3</v>
      </c>
      <c r="S23" s="59"/>
      <c r="T23" s="59"/>
      <c r="U23" s="59">
        <f t="shared" ref="U23:AF23" si="14">D23/$R$23</f>
        <v>0.33333333333333331</v>
      </c>
      <c r="V23" s="59"/>
      <c r="W23" s="59">
        <f t="shared" si="14"/>
        <v>0.33333333333333331</v>
      </c>
      <c r="X23" s="59"/>
      <c r="Y23" s="59"/>
      <c r="Z23" s="59"/>
      <c r="AA23" s="59"/>
      <c r="AB23" s="59"/>
      <c r="AC23" s="59"/>
      <c r="AD23" s="59"/>
      <c r="AE23" s="59"/>
      <c r="AF23" s="59">
        <f t="shared" si="14"/>
        <v>0.33333333333333331</v>
      </c>
      <c r="AG23" s="59"/>
      <c r="AH23" s="59"/>
      <c r="AI23" s="59">
        <f t="shared" si="1"/>
        <v>1</v>
      </c>
      <c r="AL23" s="2"/>
      <c r="AO23" s="3"/>
      <c r="AQ23" s="9"/>
    </row>
    <row r="24" spans="1:43" x14ac:dyDescent="0.3">
      <c r="A24" s="1">
        <v>227</v>
      </c>
      <c r="B24" s="1"/>
      <c r="C24" s="1"/>
      <c r="D24" s="1"/>
      <c r="E24" s="1">
        <v>1</v>
      </c>
      <c r="F24" s="1">
        <v>1</v>
      </c>
      <c r="G24" s="1">
        <v>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5">
        <f t="shared" si="0"/>
        <v>3</v>
      </c>
      <c r="S24" s="59"/>
      <c r="T24" s="59"/>
      <c r="U24" s="59"/>
      <c r="V24" s="59">
        <f t="shared" ref="V24:X24" si="15">E24/$R$24</f>
        <v>0.33333333333333331</v>
      </c>
      <c r="W24" s="59">
        <f t="shared" si="15"/>
        <v>0.33333333333333331</v>
      </c>
      <c r="X24" s="59">
        <f t="shared" si="15"/>
        <v>0.33333333333333331</v>
      </c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>
        <f t="shared" si="1"/>
        <v>1</v>
      </c>
      <c r="AL24" s="2"/>
      <c r="AM24" s="3"/>
      <c r="AO24" s="3"/>
      <c r="AQ24" s="9"/>
    </row>
    <row r="25" spans="1:43" x14ac:dyDescent="0.3">
      <c r="A25" s="1">
        <v>238</v>
      </c>
      <c r="B25" s="1"/>
      <c r="C25" s="1"/>
      <c r="D25" s="1"/>
      <c r="E25" s="1"/>
      <c r="F25" s="1">
        <v>2</v>
      </c>
      <c r="G25" s="1">
        <v>1</v>
      </c>
      <c r="H25" s="1"/>
      <c r="I25" s="1"/>
      <c r="J25" s="1"/>
      <c r="K25" s="1"/>
      <c r="L25" s="1"/>
      <c r="M25" s="1"/>
      <c r="N25" s="1"/>
      <c r="O25" s="1">
        <v>3</v>
      </c>
      <c r="P25" s="1"/>
      <c r="Q25" s="1"/>
      <c r="R25" s="5">
        <f t="shared" si="0"/>
        <v>6</v>
      </c>
      <c r="S25" s="59"/>
      <c r="T25" s="59"/>
      <c r="U25" s="59"/>
      <c r="V25" s="59"/>
      <c r="W25" s="59">
        <f t="shared" ref="W25:AF25" si="16">F25/$R$25</f>
        <v>0.33333333333333331</v>
      </c>
      <c r="X25" s="59">
        <f t="shared" si="16"/>
        <v>0.16666666666666666</v>
      </c>
      <c r="Y25" s="59"/>
      <c r="Z25" s="59"/>
      <c r="AA25" s="59"/>
      <c r="AB25" s="59"/>
      <c r="AC25" s="59"/>
      <c r="AD25" s="59"/>
      <c r="AE25" s="59"/>
      <c r="AF25" s="59">
        <f t="shared" si="16"/>
        <v>0.5</v>
      </c>
      <c r="AG25" s="59"/>
      <c r="AH25" s="59"/>
      <c r="AI25" s="59">
        <f t="shared" si="1"/>
        <v>1</v>
      </c>
      <c r="AQ25" s="9"/>
    </row>
    <row r="26" spans="1:43" x14ac:dyDescent="0.3">
      <c r="A26" s="1">
        <v>236</v>
      </c>
      <c r="B26" s="1"/>
      <c r="C26" s="1"/>
      <c r="D26" s="1"/>
      <c r="E26" s="1"/>
      <c r="F26" s="1"/>
      <c r="G26" s="1">
        <v>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5">
        <f t="shared" si="0"/>
        <v>1</v>
      </c>
      <c r="S26" s="59"/>
      <c r="T26" s="59"/>
      <c r="U26" s="59"/>
      <c r="V26" s="59"/>
      <c r="W26" s="59"/>
      <c r="X26" s="59">
        <f t="shared" ref="X26" si="17">G26/$R$26</f>
        <v>1</v>
      </c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>
        <f t="shared" si="1"/>
        <v>1</v>
      </c>
    </row>
    <row r="27" spans="1:43" x14ac:dyDescent="0.3">
      <c r="A27" s="1">
        <v>235</v>
      </c>
      <c r="B27" s="1"/>
      <c r="C27" s="1"/>
      <c r="D27" s="1"/>
      <c r="E27" s="1"/>
      <c r="F27" s="1">
        <v>1</v>
      </c>
      <c r="G27" s="1">
        <v>1</v>
      </c>
      <c r="H27" s="1"/>
      <c r="I27" s="1"/>
      <c r="J27" s="1"/>
      <c r="K27" s="1"/>
      <c r="L27" s="1"/>
      <c r="M27" s="1"/>
      <c r="N27" s="1"/>
      <c r="O27" s="1">
        <v>7</v>
      </c>
      <c r="P27" s="1"/>
      <c r="Q27" s="1"/>
      <c r="R27" s="5">
        <f t="shared" si="0"/>
        <v>9</v>
      </c>
      <c r="S27" s="59"/>
      <c r="T27" s="59"/>
      <c r="U27" s="59"/>
      <c r="V27" s="59"/>
      <c r="W27" s="59">
        <f t="shared" ref="W27:AF27" si="18">F27/$R$27</f>
        <v>0.1111111111111111</v>
      </c>
      <c r="X27" s="59">
        <f t="shared" si="18"/>
        <v>0.1111111111111111</v>
      </c>
      <c r="Y27" s="59"/>
      <c r="Z27" s="59"/>
      <c r="AA27" s="59"/>
      <c r="AB27" s="59"/>
      <c r="AC27" s="59"/>
      <c r="AD27" s="59"/>
      <c r="AE27" s="59"/>
      <c r="AF27" s="59">
        <f t="shared" si="18"/>
        <v>0.77777777777777779</v>
      </c>
      <c r="AG27" s="59"/>
      <c r="AH27" s="59"/>
      <c r="AI27" s="59">
        <f t="shared" si="1"/>
        <v>1</v>
      </c>
    </row>
    <row r="28" spans="1:43" x14ac:dyDescent="0.3">
      <c r="A28" s="1">
        <v>225</v>
      </c>
      <c r="B28" s="1"/>
      <c r="C28" s="1"/>
      <c r="D28" s="1"/>
      <c r="E28" s="1"/>
      <c r="F28" s="1">
        <v>1</v>
      </c>
      <c r="G28" s="1">
        <v>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5">
        <f t="shared" si="0"/>
        <v>2</v>
      </c>
      <c r="S28" s="59"/>
      <c r="T28" s="59"/>
      <c r="U28" s="59"/>
      <c r="V28" s="59"/>
      <c r="W28" s="59">
        <f t="shared" ref="W28:X28" si="19">F28/$R$28</f>
        <v>0.5</v>
      </c>
      <c r="X28" s="59">
        <f t="shared" si="19"/>
        <v>0.5</v>
      </c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>
        <f t="shared" si="1"/>
        <v>1</v>
      </c>
    </row>
    <row r="29" spans="1:43" x14ac:dyDescent="0.3">
      <c r="A29" s="1">
        <v>240</v>
      </c>
      <c r="B29" s="1"/>
      <c r="C29" s="1"/>
      <c r="D29" s="1">
        <v>1</v>
      </c>
      <c r="E29" s="1"/>
      <c r="F29" s="1">
        <v>1</v>
      </c>
      <c r="G29" s="1">
        <v>2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5">
        <f t="shared" si="0"/>
        <v>4</v>
      </c>
      <c r="S29" s="59"/>
      <c r="T29" s="59"/>
      <c r="U29" s="59">
        <f t="shared" ref="U29:X29" si="20">D29/$R$29</f>
        <v>0.25</v>
      </c>
      <c r="V29" s="59"/>
      <c r="W29" s="59">
        <f t="shared" si="20"/>
        <v>0.25</v>
      </c>
      <c r="X29" s="59">
        <f t="shared" si="20"/>
        <v>0.5</v>
      </c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>
        <f t="shared" si="1"/>
        <v>1</v>
      </c>
    </row>
    <row r="30" spans="1:43" x14ac:dyDescent="0.3">
      <c r="A30" s="1">
        <v>250</v>
      </c>
      <c r="B30" s="1"/>
      <c r="C30" s="1"/>
      <c r="D30" s="1"/>
      <c r="E30" s="1"/>
      <c r="F30" s="1">
        <v>1</v>
      </c>
      <c r="G30" s="1">
        <v>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5">
        <f t="shared" si="0"/>
        <v>3</v>
      </c>
      <c r="S30" s="59"/>
      <c r="T30" s="59"/>
      <c r="U30" s="59"/>
      <c r="V30" s="59"/>
      <c r="W30" s="59">
        <f t="shared" ref="W30:X30" si="21">F30/$R$30</f>
        <v>0.33333333333333331</v>
      </c>
      <c r="X30" s="59">
        <f t="shared" si="21"/>
        <v>0.66666666666666663</v>
      </c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>
        <f t="shared" si="1"/>
        <v>1</v>
      </c>
    </row>
    <row r="31" spans="1:43" x14ac:dyDescent="0.3">
      <c r="A31" s="1">
        <v>221</v>
      </c>
      <c r="B31" s="1"/>
      <c r="C31" s="1">
        <v>1</v>
      </c>
      <c r="D31" s="1"/>
      <c r="E31" s="1"/>
      <c r="F31" s="1">
        <v>1</v>
      </c>
      <c r="G31" s="1"/>
      <c r="H31" s="1"/>
      <c r="I31" s="1"/>
      <c r="J31" s="1"/>
      <c r="K31" s="1">
        <v>1</v>
      </c>
      <c r="L31" s="1"/>
      <c r="M31" s="1"/>
      <c r="N31" s="1"/>
      <c r="O31" s="1"/>
      <c r="P31" s="1"/>
      <c r="Q31" s="1"/>
      <c r="R31" s="5">
        <f t="shared" si="0"/>
        <v>3</v>
      </c>
      <c r="S31" s="59"/>
      <c r="T31" s="59">
        <f t="shared" ref="T31:AB31" si="22">C31/$R$31</f>
        <v>0.33333333333333331</v>
      </c>
      <c r="U31" s="59"/>
      <c r="V31" s="59"/>
      <c r="W31" s="59">
        <f t="shared" si="22"/>
        <v>0.33333333333333331</v>
      </c>
      <c r="X31" s="59"/>
      <c r="Y31" s="59"/>
      <c r="Z31" s="59"/>
      <c r="AA31" s="59"/>
      <c r="AB31" s="59">
        <f t="shared" si="22"/>
        <v>0.33333333333333331</v>
      </c>
      <c r="AC31" s="59"/>
      <c r="AD31" s="59"/>
      <c r="AE31" s="59"/>
      <c r="AF31" s="59"/>
      <c r="AG31" s="59"/>
      <c r="AH31" s="59"/>
      <c r="AI31" s="59">
        <f t="shared" si="1"/>
        <v>1</v>
      </c>
    </row>
    <row r="32" spans="1:43" x14ac:dyDescent="0.3">
      <c r="A32" s="1">
        <v>220</v>
      </c>
      <c r="B32" s="1"/>
      <c r="C32" s="1">
        <v>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5">
        <f t="shared" si="0"/>
        <v>1</v>
      </c>
      <c r="S32" s="59"/>
      <c r="T32" s="59">
        <f t="shared" ref="T32" si="23">C32/$R$32</f>
        <v>1</v>
      </c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>
        <f t="shared" si="1"/>
        <v>1</v>
      </c>
    </row>
    <row r="33" spans="1:35" x14ac:dyDescent="0.3">
      <c r="A33" s="1">
        <v>247</v>
      </c>
      <c r="B33" s="1"/>
      <c r="C33" s="1"/>
      <c r="D33" s="1"/>
      <c r="E33" s="1"/>
      <c r="F33" s="1">
        <v>1</v>
      </c>
      <c r="G33" s="1">
        <v>1</v>
      </c>
      <c r="H33" s="1"/>
      <c r="I33" s="1"/>
      <c r="J33" s="1"/>
      <c r="K33" s="1"/>
      <c r="L33" s="1"/>
      <c r="M33" s="1">
        <v>1</v>
      </c>
      <c r="N33" s="1"/>
      <c r="O33" s="1"/>
      <c r="P33" s="1"/>
      <c r="Q33" s="1"/>
      <c r="R33" s="5">
        <f t="shared" si="0"/>
        <v>3</v>
      </c>
      <c r="S33" s="59"/>
      <c r="T33" s="59"/>
      <c r="U33" s="59"/>
      <c r="V33" s="59"/>
      <c r="W33" s="59">
        <f t="shared" ref="W33:AD33" si="24">F33/$R$33</f>
        <v>0.33333333333333331</v>
      </c>
      <c r="X33" s="59">
        <f t="shared" si="24"/>
        <v>0.33333333333333331</v>
      </c>
      <c r="Y33" s="59"/>
      <c r="Z33" s="59"/>
      <c r="AA33" s="59"/>
      <c r="AB33" s="59"/>
      <c r="AC33" s="59"/>
      <c r="AD33" s="59">
        <f t="shared" si="24"/>
        <v>0.33333333333333331</v>
      </c>
      <c r="AE33" s="59"/>
      <c r="AF33" s="59"/>
      <c r="AG33" s="59"/>
      <c r="AH33" s="59"/>
      <c r="AI33" s="59">
        <f t="shared" si="1"/>
        <v>1</v>
      </c>
    </row>
    <row r="34" spans="1:35" x14ac:dyDescent="0.3">
      <c r="A34" s="1">
        <v>224</v>
      </c>
      <c r="B34" s="1"/>
      <c r="C34" s="1"/>
      <c r="D34" s="1"/>
      <c r="E34" s="1"/>
      <c r="F34" s="1">
        <v>1</v>
      </c>
      <c r="G34" s="1">
        <v>1</v>
      </c>
      <c r="H34" s="1"/>
      <c r="I34" s="1"/>
      <c r="J34" s="1"/>
      <c r="K34" s="1"/>
      <c r="L34" s="1"/>
      <c r="M34" s="1"/>
      <c r="N34" s="1"/>
      <c r="O34" s="1">
        <v>1</v>
      </c>
      <c r="P34" s="1"/>
      <c r="Q34" s="1"/>
      <c r="R34" s="5">
        <f t="shared" ref="R34:R65" si="25">SUM(B34:Q34)</f>
        <v>3</v>
      </c>
      <c r="S34" s="59"/>
      <c r="T34" s="59"/>
      <c r="U34" s="59"/>
      <c r="V34" s="59"/>
      <c r="W34" s="59">
        <f t="shared" ref="W34:AF34" si="26">F34/$R$34</f>
        <v>0.33333333333333331</v>
      </c>
      <c r="X34" s="59">
        <f t="shared" si="26"/>
        <v>0.33333333333333331</v>
      </c>
      <c r="Y34" s="59"/>
      <c r="Z34" s="59"/>
      <c r="AA34" s="59"/>
      <c r="AB34" s="59"/>
      <c r="AC34" s="59"/>
      <c r="AD34" s="59"/>
      <c r="AE34" s="59"/>
      <c r="AF34" s="59">
        <f t="shared" si="26"/>
        <v>0.33333333333333331</v>
      </c>
      <c r="AG34" s="59"/>
      <c r="AH34" s="59"/>
      <c r="AI34" s="59">
        <f t="shared" si="1"/>
        <v>1</v>
      </c>
    </row>
    <row r="35" spans="1:35" x14ac:dyDescent="0.3">
      <c r="A35" s="1">
        <v>222</v>
      </c>
      <c r="B35" s="1"/>
      <c r="C35" s="1"/>
      <c r="D35" s="1"/>
      <c r="E35" s="1"/>
      <c r="F35" s="1">
        <v>1</v>
      </c>
      <c r="G35" s="1">
        <v>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5">
        <f t="shared" si="25"/>
        <v>2</v>
      </c>
      <c r="S35" s="59"/>
      <c r="T35" s="59"/>
      <c r="U35" s="59"/>
      <c r="V35" s="59"/>
      <c r="W35" s="59">
        <f t="shared" ref="W35:X35" si="27">F35/$R$35</f>
        <v>0.5</v>
      </c>
      <c r="X35" s="59">
        <f t="shared" si="27"/>
        <v>0.5</v>
      </c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>
        <f t="shared" si="1"/>
        <v>1</v>
      </c>
    </row>
    <row r="36" spans="1:35" x14ac:dyDescent="0.3">
      <c r="A36" s="1">
        <v>136</v>
      </c>
      <c r="B36" s="1">
        <v>1</v>
      </c>
      <c r="C36" s="1"/>
      <c r="D36" s="1"/>
      <c r="E36" s="1"/>
      <c r="F36" s="1">
        <v>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5">
        <f t="shared" si="25"/>
        <v>2</v>
      </c>
      <c r="S36" s="59">
        <f>B36/$R$36</f>
        <v>0.5</v>
      </c>
      <c r="T36" s="59"/>
      <c r="U36" s="59"/>
      <c r="V36" s="59"/>
      <c r="W36" s="59">
        <f t="shared" ref="W36" si="28">F36/$R$36</f>
        <v>0.5</v>
      </c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>
        <f t="shared" si="1"/>
        <v>1</v>
      </c>
    </row>
    <row r="37" spans="1:35" x14ac:dyDescent="0.3">
      <c r="A37" s="1">
        <v>213</v>
      </c>
      <c r="B37" s="1"/>
      <c r="C37" s="1"/>
      <c r="D37" s="1">
        <v>2</v>
      </c>
      <c r="E37" s="1"/>
      <c r="F37" s="1">
        <v>1</v>
      </c>
      <c r="G37" s="1">
        <v>1</v>
      </c>
      <c r="H37" s="1"/>
      <c r="I37" s="1"/>
      <c r="J37" s="1"/>
      <c r="K37" s="1"/>
      <c r="L37" s="1">
        <v>1</v>
      </c>
      <c r="M37" s="1"/>
      <c r="N37" s="1"/>
      <c r="O37" s="1"/>
      <c r="P37" s="1"/>
      <c r="Q37" s="1"/>
      <c r="R37" s="5">
        <f t="shared" si="25"/>
        <v>5</v>
      </c>
      <c r="S37" s="59"/>
      <c r="T37" s="59"/>
      <c r="U37" s="59">
        <f t="shared" ref="U37:AC37" si="29">D37/$R$37</f>
        <v>0.4</v>
      </c>
      <c r="V37" s="59"/>
      <c r="W37" s="59">
        <f t="shared" si="29"/>
        <v>0.2</v>
      </c>
      <c r="X37" s="59">
        <f t="shared" si="29"/>
        <v>0.2</v>
      </c>
      <c r="Y37" s="59"/>
      <c r="Z37" s="59"/>
      <c r="AA37" s="59"/>
      <c r="AB37" s="59"/>
      <c r="AC37" s="59">
        <f t="shared" si="29"/>
        <v>0.2</v>
      </c>
      <c r="AD37" s="59"/>
      <c r="AE37" s="59"/>
      <c r="AF37" s="59"/>
      <c r="AG37" s="59"/>
      <c r="AH37" s="59"/>
      <c r="AI37" s="59">
        <f t="shared" si="1"/>
        <v>1</v>
      </c>
    </row>
    <row r="38" spans="1:35" x14ac:dyDescent="0.3">
      <c r="A38" s="1">
        <v>212</v>
      </c>
      <c r="B38" s="1"/>
      <c r="C38" s="1"/>
      <c r="D38" s="1"/>
      <c r="E38" s="1">
        <v>1</v>
      </c>
      <c r="F38" s="1"/>
      <c r="G38" s="1">
        <v>1</v>
      </c>
      <c r="H38" s="1">
        <v>1</v>
      </c>
      <c r="I38" s="1"/>
      <c r="J38" s="1"/>
      <c r="K38" s="1"/>
      <c r="L38" s="1"/>
      <c r="M38" s="1"/>
      <c r="N38" s="1"/>
      <c r="O38" s="1"/>
      <c r="P38" s="1"/>
      <c r="Q38" s="1"/>
      <c r="R38" s="5">
        <f t="shared" si="25"/>
        <v>3</v>
      </c>
      <c r="S38" s="59"/>
      <c r="T38" s="59"/>
      <c r="U38" s="59"/>
      <c r="V38" s="59">
        <f t="shared" ref="V38:Y38" si="30">E38/$R$38</f>
        <v>0.33333333333333331</v>
      </c>
      <c r="W38" s="59"/>
      <c r="X38" s="59">
        <f t="shared" si="30"/>
        <v>0.33333333333333331</v>
      </c>
      <c r="Y38" s="59">
        <f t="shared" si="30"/>
        <v>0.33333333333333331</v>
      </c>
      <c r="Z38" s="59"/>
      <c r="AA38" s="59"/>
      <c r="AB38" s="59"/>
      <c r="AC38" s="59"/>
      <c r="AD38" s="59"/>
      <c r="AE38" s="59"/>
      <c r="AF38" s="59"/>
      <c r="AG38" s="59"/>
      <c r="AH38" s="59"/>
      <c r="AI38" s="59">
        <f t="shared" si="1"/>
        <v>1</v>
      </c>
    </row>
    <row r="39" spans="1:35" x14ac:dyDescent="0.3">
      <c r="A39" s="1">
        <v>209</v>
      </c>
      <c r="B39" s="1"/>
      <c r="C39" s="1"/>
      <c r="D39" s="1"/>
      <c r="E39" s="1"/>
      <c r="F39" s="1"/>
      <c r="G39" s="1">
        <v>1</v>
      </c>
      <c r="H39" s="1"/>
      <c r="I39" s="1"/>
      <c r="J39" s="1"/>
      <c r="K39" s="1"/>
      <c r="L39" s="1"/>
      <c r="M39" s="1"/>
      <c r="N39" s="1"/>
      <c r="O39" s="1">
        <v>1</v>
      </c>
      <c r="P39" s="1"/>
      <c r="Q39" s="1"/>
      <c r="R39" s="5">
        <f t="shared" si="25"/>
        <v>2</v>
      </c>
      <c r="S39" s="59"/>
      <c r="T39" s="59"/>
      <c r="U39" s="59"/>
      <c r="V39" s="59"/>
      <c r="W39" s="59"/>
      <c r="X39" s="59">
        <f t="shared" ref="X39" si="31">G39/$R$39</f>
        <v>0.5</v>
      </c>
      <c r="Y39" s="59"/>
      <c r="Z39" s="59"/>
      <c r="AA39" s="59"/>
      <c r="AB39" s="59"/>
      <c r="AC39" s="59"/>
      <c r="AD39" s="59"/>
      <c r="AE39" s="59"/>
      <c r="AF39" s="59">
        <f t="shared" ref="AF39" si="32">O39/$R$39</f>
        <v>0.5</v>
      </c>
      <c r="AG39" s="59"/>
      <c r="AH39" s="59"/>
      <c r="AI39" s="59">
        <f t="shared" si="1"/>
        <v>1</v>
      </c>
    </row>
    <row r="40" spans="1:35" x14ac:dyDescent="0.3">
      <c r="A40" s="1">
        <v>45</v>
      </c>
      <c r="B40" s="1"/>
      <c r="C40" s="1"/>
      <c r="D40" s="1">
        <v>1</v>
      </c>
      <c r="E40" s="1"/>
      <c r="F40" s="1">
        <v>1</v>
      </c>
      <c r="G40" s="1"/>
      <c r="H40" s="1"/>
      <c r="I40" s="1"/>
      <c r="J40" s="1"/>
      <c r="K40" s="1"/>
      <c r="L40" s="1"/>
      <c r="M40" s="1"/>
      <c r="N40" s="1">
        <v>1</v>
      </c>
      <c r="O40" s="1"/>
      <c r="P40" s="1"/>
      <c r="Q40" s="1"/>
      <c r="R40" s="5">
        <f t="shared" si="25"/>
        <v>3</v>
      </c>
      <c r="S40" s="59"/>
      <c r="T40" s="59"/>
      <c r="U40" s="59">
        <f t="shared" ref="U40:AE40" si="33">D40/$R$40</f>
        <v>0.33333333333333331</v>
      </c>
      <c r="V40" s="59"/>
      <c r="W40" s="59">
        <f t="shared" si="33"/>
        <v>0.33333333333333331</v>
      </c>
      <c r="X40" s="59"/>
      <c r="Y40" s="59"/>
      <c r="Z40" s="59"/>
      <c r="AA40" s="59"/>
      <c r="AB40" s="59"/>
      <c r="AC40" s="59"/>
      <c r="AD40" s="59"/>
      <c r="AE40" s="59">
        <f t="shared" si="33"/>
        <v>0.33333333333333331</v>
      </c>
      <c r="AF40" s="59"/>
      <c r="AG40" s="59"/>
      <c r="AH40" s="59"/>
      <c r="AI40" s="59">
        <f t="shared" si="1"/>
        <v>1</v>
      </c>
    </row>
    <row r="41" spans="1:35" x14ac:dyDescent="0.3">
      <c r="A41" s="1">
        <v>219</v>
      </c>
      <c r="B41" s="1"/>
      <c r="C41" s="1"/>
      <c r="D41" s="1"/>
      <c r="E41" s="1"/>
      <c r="F41" s="1"/>
      <c r="G41" s="1">
        <v>1</v>
      </c>
      <c r="H41" s="1"/>
      <c r="I41" s="1">
        <v>2</v>
      </c>
      <c r="J41" s="1"/>
      <c r="K41" s="1"/>
      <c r="L41" s="1"/>
      <c r="M41" s="1"/>
      <c r="N41" s="1"/>
      <c r="O41" s="1"/>
      <c r="P41" s="1"/>
      <c r="Q41" s="1"/>
      <c r="R41" s="5">
        <f t="shared" si="25"/>
        <v>3</v>
      </c>
      <c r="S41" s="59"/>
      <c r="T41" s="59"/>
      <c r="U41" s="59"/>
      <c r="V41" s="59"/>
      <c r="W41" s="59"/>
      <c r="X41" s="59">
        <f t="shared" ref="X41:Z41" si="34">G41/$R$41</f>
        <v>0.33333333333333331</v>
      </c>
      <c r="Y41" s="59"/>
      <c r="Z41" s="59">
        <f t="shared" si="34"/>
        <v>0.66666666666666663</v>
      </c>
      <c r="AA41" s="59"/>
      <c r="AB41" s="59"/>
      <c r="AC41" s="59"/>
      <c r="AD41" s="59"/>
      <c r="AE41" s="59"/>
      <c r="AF41" s="59"/>
      <c r="AG41" s="59"/>
      <c r="AH41" s="59"/>
      <c r="AI41" s="59">
        <f t="shared" si="1"/>
        <v>1</v>
      </c>
    </row>
    <row r="42" spans="1:35" x14ac:dyDescent="0.3">
      <c r="A42" s="1">
        <v>53</v>
      </c>
      <c r="B42" s="1"/>
      <c r="C42" s="1"/>
      <c r="D42" s="1"/>
      <c r="E42" s="1"/>
      <c r="F42" s="1">
        <v>1</v>
      </c>
      <c r="G42" s="1">
        <v>1</v>
      </c>
      <c r="H42" s="1"/>
      <c r="I42" s="1"/>
      <c r="J42" s="1"/>
      <c r="K42" s="1"/>
      <c r="L42" s="1"/>
      <c r="M42" s="1">
        <v>1</v>
      </c>
      <c r="N42" s="1"/>
      <c r="O42" s="1"/>
      <c r="P42" s="1"/>
      <c r="Q42" s="1"/>
      <c r="R42" s="5">
        <f t="shared" si="25"/>
        <v>3</v>
      </c>
      <c r="S42" s="59"/>
      <c r="T42" s="59"/>
      <c r="U42" s="59"/>
      <c r="V42" s="59"/>
      <c r="W42" s="59">
        <f t="shared" ref="W42:AD42" si="35">F42/$R$42</f>
        <v>0.33333333333333331</v>
      </c>
      <c r="X42" s="59">
        <f t="shared" si="35"/>
        <v>0.33333333333333331</v>
      </c>
      <c r="Y42" s="59"/>
      <c r="Z42" s="59"/>
      <c r="AA42" s="59"/>
      <c r="AB42" s="59"/>
      <c r="AC42" s="59"/>
      <c r="AD42" s="59">
        <f t="shared" si="35"/>
        <v>0.33333333333333331</v>
      </c>
      <c r="AE42" s="59"/>
      <c r="AF42" s="59"/>
      <c r="AG42" s="59"/>
      <c r="AH42" s="59"/>
      <c r="AI42" s="59">
        <f t="shared" si="1"/>
        <v>1</v>
      </c>
    </row>
    <row r="43" spans="1:35" x14ac:dyDescent="0.3">
      <c r="A43" s="1">
        <v>241</v>
      </c>
      <c r="B43" s="1"/>
      <c r="C43" s="1"/>
      <c r="D43" s="1"/>
      <c r="E43" s="1">
        <v>1</v>
      </c>
      <c r="F43" s="1"/>
      <c r="G43" s="1">
        <v>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5">
        <f t="shared" si="25"/>
        <v>2</v>
      </c>
      <c r="S43" s="59"/>
      <c r="T43" s="59"/>
      <c r="U43" s="59"/>
      <c r="V43" s="59">
        <f t="shared" ref="V43:X43" si="36">E43/$R$43</f>
        <v>0.5</v>
      </c>
      <c r="W43" s="59"/>
      <c r="X43" s="59">
        <f t="shared" si="36"/>
        <v>0.5</v>
      </c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>
        <f t="shared" si="1"/>
        <v>1</v>
      </c>
    </row>
    <row r="44" spans="1:35" x14ac:dyDescent="0.3">
      <c r="A44" s="1">
        <v>135</v>
      </c>
      <c r="B44" s="1"/>
      <c r="C44" s="1"/>
      <c r="D44" s="1"/>
      <c r="E44" s="1"/>
      <c r="F44" s="1"/>
      <c r="G44" s="1">
        <v>1</v>
      </c>
      <c r="H44" s="1"/>
      <c r="I44" s="1">
        <v>1</v>
      </c>
      <c r="J44" s="1"/>
      <c r="K44" s="1"/>
      <c r="L44" s="1"/>
      <c r="M44" s="1"/>
      <c r="N44" s="1"/>
      <c r="O44" s="1"/>
      <c r="P44" s="1"/>
      <c r="Q44" s="1"/>
      <c r="R44" s="5">
        <f t="shared" si="25"/>
        <v>2</v>
      </c>
      <c r="S44" s="59"/>
      <c r="T44" s="59"/>
      <c r="U44" s="59"/>
      <c r="V44" s="59"/>
      <c r="W44" s="59"/>
      <c r="X44" s="59">
        <f t="shared" ref="X44:Z44" si="37">G44/$R$44</f>
        <v>0.5</v>
      </c>
      <c r="Y44" s="59"/>
      <c r="Z44" s="59">
        <f t="shared" si="37"/>
        <v>0.5</v>
      </c>
      <c r="AA44" s="59"/>
      <c r="AB44" s="59"/>
      <c r="AC44" s="59"/>
      <c r="AD44" s="59"/>
      <c r="AE44" s="59"/>
      <c r="AF44" s="59"/>
      <c r="AG44" s="59"/>
      <c r="AH44" s="59"/>
      <c r="AI44" s="59">
        <f t="shared" si="1"/>
        <v>1</v>
      </c>
    </row>
    <row r="45" spans="1:35" x14ac:dyDescent="0.3">
      <c r="A45" s="1">
        <v>137</v>
      </c>
      <c r="B45" s="1"/>
      <c r="C45" s="1"/>
      <c r="D45" s="1"/>
      <c r="E45" s="1">
        <v>1</v>
      </c>
      <c r="F45" s="1"/>
      <c r="G45" s="1"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5">
        <f t="shared" si="25"/>
        <v>2</v>
      </c>
      <c r="S45" s="59"/>
      <c r="T45" s="59"/>
      <c r="U45" s="59"/>
      <c r="V45" s="59">
        <f t="shared" ref="V45:X45" si="38">E45/$R$45</f>
        <v>0.5</v>
      </c>
      <c r="W45" s="59"/>
      <c r="X45" s="59">
        <f t="shared" si="38"/>
        <v>0.5</v>
      </c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>
        <f t="shared" si="1"/>
        <v>1</v>
      </c>
    </row>
    <row r="46" spans="1:35" x14ac:dyDescent="0.3">
      <c r="A46" s="1">
        <v>55</v>
      </c>
      <c r="B46" s="1"/>
      <c r="C46" s="1">
        <v>1</v>
      </c>
      <c r="D46" s="1"/>
      <c r="E46" s="1"/>
      <c r="F46" s="1">
        <v>1</v>
      </c>
      <c r="G46" s="1">
        <v>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5">
        <f t="shared" si="25"/>
        <v>3</v>
      </c>
      <c r="S46" s="59"/>
      <c r="T46" s="59">
        <f t="shared" ref="T46:X46" si="39">C46/$R$46</f>
        <v>0.33333333333333331</v>
      </c>
      <c r="U46" s="59"/>
      <c r="V46" s="59"/>
      <c r="W46" s="59">
        <f t="shared" si="39"/>
        <v>0.33333333333333331</v>
      </c>
      <c r="X46" s="59">
        <f t="shared" si="39"/>
        <v>0.33333333333333331</v>
      </c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>
        <f t="shared" si="1"/>
        <v>1</v>
      </c>
    </row>
    <row r="47" spans="1:35" x14ac:dyDescent="0.3">
      <c r="A47" s="1" t="s">
        <v>66</v>
      </c>
      <c r="B47" s="1">
        <v>1</v>
      </c>
      <c r="C47" s="1"/>
      <c r="D47" s="1"/>
      <c r="E47" s="1"/>
      <c r="F47" s="1">
        <v>1</v>
      </c>
      <c r="G47" s="1"/>
      <c r="H47" s="1"/>
      <c r="I47" s="1"/>
      <c r="J47" s="1"/>
      <c r="K47" s="1"/>
      <c r="L47" s="1"/>
      <c r="M47" s="1"/>
      <c r="N47" s="1"/>
      <c r="O47" s="1">
        <v>1</v>
      </c>
      <c r="P47" s="1"/>
      <c r="Q47" s="1"/>
      <c r="R47" s="5">
        <f t="shared" si="25"/>
        <v>3</v>
      </c>
      <c r="S47" s="59">
        <f>B47/$R$47</f>
        <v>0.33333333333333331</v>
      </c>
      <c r="T47" s="59"/>
      <c r="U47" s="59"/>
      <c r="V47" s="59"/>
      <c r="W47" s="59">
        <f t="shared" ref="W47:AF47" si="40">F47/$R$47</f>
        <v>0.33333333333333331</v>
      </c>
      <c r="X47" s="59"/>
      <c r="Y47" s="59"/>
      <c r="Z47" s="59"/>
      <c r="AA47" s="59"/>
      <c r="AB47" s="59"/>
      <c r="AC47" s="59"/>
      <c r="AD47" s="59"/>
      <c r="AE47" s="59"/>
      <c r="AF47" s="59">
        <f t="shared" si="40"/>
        <v>0.33333333333333331</v>
      </c>
      <c r="AG47" s="59"/>
      <c r="AH47" s="59"/>
      <c r="AI47" s="59">
        <f t="shared" si="1"/>
        <v>1</v>
      </c>
    </row>
    <row r="48" spans="1:35" x14ac:dyDescent="0.3">
      <c r="A48" s="1">
        <v>237</v>
      </c>
      <c r="B48" s="1"/>
      <c r="C48" s="1"/>
      <c r="D48" s="1"/>
      <c r="E48" s="1"/>
      <c r="F48" s="1"/>
      <c r="G48" s="1">
        <v>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5">
        <f t="shared" si="25"/>
        <v>1</v>
      </c>
      <c r="S48" s="59"/>
      <c r="T48" s="59"/>
      <c r="U48" s="59"/>
      <c r="V48" s="59"/>
      <c r="W48" s="59"/>
      <c r="X48" s="59">
        <f t="shared" ref="X48" si="41">G48/$R$48</f>
        <v>1</v>
      </c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>
        <f t="shared" si="1"/>
        <v>1</v>
      </c>
    </row>
    <row r="49" spans="1:35" x14ac:dyDescent="0.3">
      <c r="A49" s="1">
        <v>231</v>
      </c>
      <c r="B49" s="1"/>
      <c r="C49" s="1"/>
      <c r="D49" s="1"/>
      <c r="E49" s="1">
        <v>1</v>
      </c>
      <c r="F49" s="1">
        <v>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5">
        <f t="shared" si="25"/>
        <v>2</v>
      </c>
      <c r="S49" s="59"/>
      <c r="T49" s="59"/>
      <c r="U49" s="59"/>
      <c r="V49" s="59">
        <f t="shared" ref="V49:W49" si="42">E49/$R$49</f>
        <v>0.5</v>
      </c>
      <c r="W49" s="59">
        <f t="shared" si="42"/>
        <v>0.5</v>
      </c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>
        <f t="shared" si="1"/>
        <v>1</v>
      </c>
    </row>
    <row r="50" spans="1:35" x14ac:dyDescent="0.3">
      <c r="A50" s="1">
        <v>245</v>
      </c>
      <c r="B50" s="1"/>
      <c r="C50" s="1"/>
      <c r="D50" s="1"/>
      <c r="E50" s="1">
        <v>1</v>
      </c>
      <c r="F50" s="1">
        <v>1</v>
      </c>
      <c r="G50" s="1">
        <v>1</v>
      </c>
      <c r="H50" s="1"/>
      <c r="I50" s="1"/>
      <c r="J50" s="1"/>
      <c r="K50" s="1"/>
      <c r="L50" s="1"/>
      <c r="M50" s="1"/>
      <c r="N50" s="1"/>
      <c r="O50" s="1">
        <v>1</v>
      </c>
      <c r="P50" s="1"/>
      <c r="Q50" s="1"/>
      <c r="R50" s="5">
        <f t="shared" si="25"/>
        <v>4</v>
      </c>
      <c r="S50" s="59"/>
      <c r="T50" s="59"/>
      <c r="U50" s="59"/>
      <c r="V50" s="59">
        <f t="shared" ref="V50:AF50" si="43">E50/$R$50</f>
        <v>0.25</v>
      </c>
      <c r="W50" s="59">
        <f t="shared" si="43"/>
        <v>0.25</v>
      </c>
      <c r="X50" s="59">
        <f t="shared" si="43"/>
        <v>0.25</v>
      </c>
      <c r="Y50" s="59"/>
      <c r="Z50" s="59"/>
      <c r="AA50" s="59"/>
      <c r="AB50" s="59"/>
      <c r="AC50" s="59"/>
      <c r="AD50" s="59"/>
      <c r="AE50" s="59"/>
      <c r="AF50" s="59">
        <f t="shared" si="43"/>
        <v>0.25</v>
      </c>
      <c r="AG50" s="59"/>
      <c r="AH50" s="59"/>
      <c r="AI50" s="59">
        <f t="shared" si="1"/>
        <v>1</v>
      </c>
    </row>
    <row r="51" spans="1:35" x14ac:dyDescent="0.3">
      <c r="A51" s="1">
        <v>223</v>
      </c>
      <c r="B51" s="1"/>
      <c r="C51" s="1"/>
      <c r="D51" s="1"/>
      <c r="E51" s="1"/>
      <c r="F51" s="1"/>
      <c r="G51" s="1">
        <v>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5">
        <f t="shared" si="25"/>
        <v>1</v>
      </c>
      <c r="S51" s="59"/>
      <c r="T51" s="59"/>
      <c r="U51" s="59"/>
      <c r="V51" s="59"/>
      <c r="W51" s="59"/>
      <c r="X51" s="59">
        <f t="shared" ref="X51" si="44">G51/$R$51</f>
        <v>1</v>
      </c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>
        <f t="shared" si="1"/>
        <v>1</v>
      </c>
    </row>
    <row r="52" spans="1:35" x14ac:dyDescent="0.3">
      <c r="A52" s="1">
        <v>214</v>
      </c>
      <c r="B52" s="1"/>
      <c r="C52" s="1"/>
      <c r="D52" s="1"/>
      <c r="E52" s="1">
        <v>1</v>
      </c>
      <c r="F52" s="1">
        <v>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5">
        <f t="shared" si="25"/>
        <v>2</v>
      </c>
      <c r="S52" s="59"/>
      <c r="T52" s="59"/>
      <c r="U52" s="59"/>
      <c r="V52" s="59">
        <f t="shared" ref="V52:W52" si="45">E52/$R$52</f>
        <v>0.5</v>
      </c>
      <c r="W52" s="59">
        <f t="shared" si="45"/>
        <v>0.5</v>
      </c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>
        <f t="shared" si="1"/>
        <v>1</v>
      </c>
    </row>
    <row r="53" spans="1:35" x14ac:dyDescent="0.3">
      <c r="A53" s="1">
        <v>226</v>
      </c>
      <c r="B53" s="1"/>
      <c r="C53" s="1"/>
      <c r="D53" s="1"/>
      <c r="E53" s="1">
        <v>1</v>
      </c>
      <c r="F53" s="1">
        <v>1</v>
      </c>
      <c r="G53" s="1">
        <v>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5">
        <f t="shared" si="25"/>
        <v>3</v>
      </c>
      <c r="S53" s="59"/>
      <c r="T53" s="59"/>
      <c r="U53" s="59"/>
      <c r="V53" s="59">
        <f t="shared" ref="V53:X53" si="46">E53/$R$53</f>
        <v>0.33333333333333331</v>
      </c>
      <c r="W53" s="59">
        <f t="shared" si="46"/>
        <v>0.33333333333333331</v>
      </c>
      <c r="X53" s="59">
        <f t="shared" si="46"/>
        <v>0.33333333333333331</v>
      </c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>
        <f t="shared" si="1"/>
        <v>1</v>
      </c>
    </row>
    <row r="54" spans="1:35" x14ac:dyDescent="0.3">
      <c r="A54" s="1">
        <v>252</v>
      </c>
      <c r="B54" s="1"/>
      <c r="C54" s="1"/>
      <c r="D54" s="1"/>
      <c r="E54" s="1">
        <v>1</v>
      </c>
      <c r="F54" s="1">
        <v>1</v>
      </c>
      <c r="G54" s="1">
        <v>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5">
        <f t="shared" si="25"/>
        <v>3</v>
      </c>
      <c r="S54" s="59"/>
      <c r="T54" s="59"/>
      <c r="U54" s="59"/>
      <c r="V54" s="59">
        <f t="shared" ref="V54:X54" si="47">E54/$R$54</f>
        <v>0.33333333333333331</v>
      </c>
      <c r="W54" s="59">
        <f t="shared" si="47"/>
        <v>0.33333333333333331</v>
      </c>
      <c r="X54" s="59">
        <f t="shared" si="47"/>
        <v>0.33333333333333331</v>
      </c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>
        <f t="shared" si="1"/>
        <v>1</v>
      </c>
    </row>
    <row r="55" spans="1:35" x14ac:dyDescent="0.3">
      <c r="A55" s="1" t="s">
        <v>68</v>
      </c>
      <c r="B55" s="1"/>
      <c r="C55" s="1"/>
      <c r="D55" s="1"/>
      <c r="E55" s="1"/>
      <c r="F55" s="1"/>
      <c r="G55" s="1">
        <v>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5">
        <f t="shared" si="25"/>
        <v>1</v>
      </c>
      <c r="S55" s="59"/>
      <c r="T55" s="59"/>
      <c r="U55" s="59"/>
      <c r="V55" s="59"/>
      <c r="W55" s="59"/>
      <c r="X55" s="59">
        <f t="shared" ref="X55" si="48">G55/$R$55</f>
        <v>1</v>
      </c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>
        <f t="shared" si="1"/>
        <v>1</v>
      </c>
    </row>
    <row r="56" spans="1:35" x14ac:dyDescent="0.3">
      <c r="A56" s="1">
        <v>230</v>
      </c>
      <c r="B56" s="1">
        <v>1</v>
      </c>
      <c r="C56" s="1"/>
      <c r="D56" s="1"/>
      <c r="E56" s="1"/>
      <c r="F56" s="1">
        <v>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5">
        <f t="shared" si="25"/>
        <v>3</v>
      </c>
      <c r="S56" s="59">
        <f>B56/$R$56</f>
        <v>0.33333333333333331</v>
      </c>
      <c r="T56" s="59"/>
      <c r="U56" s="59"/>
      <c r="V56" s="59"/>
      <c r="W56" s="59">
        <f t="shared" ref="W56" si="49">F56/$R$56</f>
        <v>0.66666666666666663</v>
      </c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>
        <f t="shared" si="1"/>
        <v>1</v>
      </c>
    </row>
    <row r="57" spans="1:35" x14ac:dyDescent="0.3">
      <c r="A57" s="1">
        <v>248</v>
      </c>
      <c r="B57" s="1"/>
      <c r="C57" s="1">
        <v>1</v>
      </c>
      <c r="D57" s="1"/>
      <c r="E57" s="1"/>
      <c r="F57" s="1">
        <v>1</v>
      </c>
      <c r="G57" s="1"/>
      <c r="H57" s="1"/>
      <c r="I57" s="1"/>
      <c r="J57" s="1"/>
      <c r="K57" s="1"/>
      <c r="L57" s="1"/>
      <c r="M57" s="1"/>
      <c r="N57" s="1"/>
      <c r="O57" s="1">
        <v>2</v>
      </c>
      <c r="P57" s="1"/>
      <c r="Q57" s="1"/>
      <c r="R57" s="5">
        <f t="shared" si="25"/>
        <v>4</v>
      </c>
      <c r="S57" s="59"/>
      <c r="T57" s="59">
        <f t="shared" ref="T57:AF57" si="50">C57/$R$57</f>
        <v>0.25</v>
      </c>
      <c r="U57" s="59"/>
      <c r="V57" s="59"/>
      <c r="W57" s="59">
        <f t="shared" si="50"/>
        <v>0.25</v>
      </c>
      <c r="X57" s="59"/>
      <c r="Y57" s="59"/>
      <c r="Z57" s="59"/>
      <c r="AA57" s="59"/>
      <c r="AB57" s="59"/>
      <c r="AC57" s="59"/>
      <c r="AD57" s="59"/>
      <c r="AE57" s="59"/>
      <c r="AF57" s="59">
        <f t="shared" si="50"/>
        <v>0.5</v>
      </c>
      <c r="AG57" s="59"/>
      <c r="AH57" s="59"/>
      <c r="AI57" s="59">
        <f t="shared" si="1"/>
        <v>1</v>
      </c>
    </row>
    <row r="58" spans="1:35" x14ac:dyDescent="0.3">
      <c r="A58" s="1">
        <v>233</v>
      </c>
      <c r="B58" s="1"/>
      <c r="C58" s="1"/>
      <c r="D58" s="1"/>
      <c r="E58" s="1"/>
      <c r="F58" s="1">
        <v>1</v>
      </c>
      <c r="G58" s="1">
        <v>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5">
        <f t="shared" si="25"/>
        <v>2</v>
      </c>
      <c r="S58" s="59"/>
      <c r="T58" s="59"/>
      <c r="U58" s="59"/>
      <c r="V58" s="59"/>
      <c r="W58" s="59">
        <f t="shared" ref="W58:X58" si="51">F58/$R$58</f>
        <v>0.5</v>
      </c>
      <c r="X58" s="59">
        <f t="shared" si="51"/>
        <v>0.5</v>
      </c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>
        <f t="shared" si="1"/>
        <v>1</v>
      </c>
    </row>
    <row r="59" spans="1:35" x14ac:dyDescent="0.3">
      <c r="A59" s="1">
        <v>215</v>
      </c>
      <c r="B59" s="1"/>
      <c r="C59" s="1"/>
      <c r="D59" s="1"/>
      <c r="E59" s="1">
        <v>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>
        <v>1</v>
      </c>
      <c r="R59" s="5">
        <f t="shared" si="25"/>
        <v>2</v>
      </c>
      <c r="S59" s="59"/>
      <c r="T59" s="59"/>
      <c r="U59" s="59"/>
      <c r="V59" s="59">
        <f t="shared" ref="V59:AH59" si="52">E59/$R$59</f>
        <v>0.5</v>
      </c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>
        <f t="shared" si="52"/>
        <v>0.5</v>
      </c>
      <c r="AI59" s="59">
        <f t="shared" si="1"/>
        <v>1</v>
      </c>
    </row>
    <row r="60" spans="1:35" x14ac:dyDescent="0.3">
      <c r="A60" s="1">
        <v>249</v>
      </c>
      <c r="B60" s="1"/>
      <c r="C60" s="1"/>
      <c r="D60" s="1"/>
      <c r="E60" s="1"/>
      <c r="F60" s="1">
        <v>1</v>
      </c>
      <c r="G60" s="1">
        <v>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5">
        <f t="shared" si="25"/>
        <v>2</v>
      </c>
      <c r="S60" s="59"/>
      <c r="T60" s="59"/>
      <c r="U60" s="59"/>
      <c r="V60" s="59"/>
      <c r="W60" s="59">
        <f t="shared" ref="W60:X60" si="53">F60/$R$60</f>
        <v>0.5</v>
      </c>
      <c r="X60" s="59">
        <f t="shared" si="53"/>
        <v>0.5</v>
      </c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>
        <f t="shared" si="1"/>
        <v>1</v>
      </c>
    </row>
    <row r="61" spans="1:35" x14ac:dyDescent="0.3">
      <c r="A61" s="1" t="s">
        <v>70</v>
      </c>
      <c r="B61" s="1">
        <v>1</v>
      </c>
      <c r="C61" s="1"/>
      <c r="D61" s="1"/>
      <c r="E61" s="1"/>
      <c r="F61" s="1">
        <v>1</v>
      </c>
      <c r="G61" s="1"/>
      <c r="H61" s="1"/>
      <c r="I61" s="1"/>
      <c r="J61" s="1"/>
      <c r="K61" s="1"/>
      <c r="L61" s="1"/>
      <c r="M61" s="1"/>
      <c r="N61" s="1"/>
      <c r="O61" s="1">
        <v>8</v>
      </c>
      <c r="P61" s="1"/>
      <c r="Q61" s="1"/>
      <c r="R61" s="5">
        <f t="shared" si="25"/>
        <v>10</v>
      </c>
      <c r="S61" s="59">
        <f>B61/$R$61</f>
        <v>0.1</v>
      </c>
      <c r="T61" s="59"/>
      <c r="U61" s="59"/>
      <c r="V61" s="59"/>
      <c r="W61" s="59">
        <f t="shared" ref="W61:AF61" si="54">F61/$R$61</f>
        <v>0.1</v>
      </c>
      <c r="X61" s="59"/>
      <c r="Y61" s="59"/>
      <c r="Z61" s="59"/>
      <c r="AA61" s="59"/>
      <c r="AB61" s="59"/>
      <c r="AC61" s="59"/>
      <c r="AD61" s="59"/>
      <c r="AE61" s="59"/>
      <c r="AF61" s="59">
        <f t="shared" si="54"/>
        <v>0.8</v>
      </c>
      <c r="AG61" s="59"/>
      <c r="AH61" s="59"/>
      <c r="AI61" s="59">
        <f t="shared" si="1"/>
        <v>1</v>
      </c>
    </row>
    <row r="62" spans="1:35" x14ac:dyDescent="0.3">
      <c r="A62" s="1" t="s">
        <v>72</v>
      </c>
      <c r="B62" s="1"/>
      <c r="C62" s="1"/>
      <c r="D62" s="1"/>
      <c r="E62" s="1"/>
      <c r="F62" s="1"/>
      <c r="G62" s="1"/>
      <c r="H62" s="1"/>
      <c r="I62" s="1"/>
      <c r="J62" s="1"/>
      <c r="K62" s="1">
        <v>1</v>
      </c>
      <c r="L62" s="1"/>
      <c r="M62" s="1"/>
      <c r="N62" s="1">
        <v>3</v>
      </c>
      <c r="O62" s="1">
        <v>2</v>
      </c>
      <c r="P62" s="1">
        <v>2</v>
      </c>
      <c r="Q62" s="1"/>
      <c r="R62" s="5">
        <f t="shared" si="25"/>
        <v>8</v>
      </c>
      <c r="S62" s="59"/>
      <c r="T62" s="59"/>
      <c r="U62" s="59"/>
      <c r="V62" s="59"/>
      <c r="W62" s="59"/>
      <c r="X62" s="59"/>
      <c r="Y62" s="59"/>
      <c r="Z62" s="59"/>
      <c r="AA62" s="59"/>
      <c r="AB62" s="59">
        <f t="shared" ref="AB62:AG62" si="55">K62/$R$62</f>
        <v>0.125</v>
      </c>
      <c r="AC62" s="59"/>
      <c r="AD62" s="59"/>
      <c r="AE62" s="59">
        <f t="shared" si="55"/>
        <v>0.375</v>
      </c>
      <c r="AF62" s="59">
        <f t="shared" si="55"/>
        <v>0.25</v>
      </c>
      <c r="AG62" s="59">
        <f t="shared" si="55"/>
        <v>0.25</v>
      </c>
      <c r="AH62" s="59"/>
      <c r="AI62" s="59">
        <f t="shared" si="1"/>
        <v>1</v>
      </c>
    </row>
    <row r="63" spans="1:35" x14ac:dyDescent="0.3">
      <c r="A63" s="1" t="s">
        <v>73</v>
      </c>
      <c r="B63" s="1">
        <v>1</v>
      </c>
      <c r="C63" s="1"/>
      <c r="D63" s="1"/>
      <c r="E63" s="1"/>
      <c r="F63" s="1"/>
      <c r="G63" s="1">
        <v>1</v>
      </c>
      <c r="H63" s="1">
        <v>1</v>
      </c>
      <c r="I63" s="1"/>
      <c r="J63" s="1"/>
      <c r="K63" s="1"/>
      <c r="L63" s="1"/>
      <c r="M63" s="1"/>
      <c r="N63" s="1"/>
      <c r="O63" s="1">
        <v>4</v>
      </c>
      <c r="P63" s="1"/>
      <c r="Q63" s="1"/>
      <c r="R63" s="5">
        <f t="shared" si="25"/>
        <v>7</v>
      </c>
      <c r="S63" s="59">
        <f>B63/$R$63</f>
        <v>0.14285714285714285</v>
      </c>
      <c r="T63" s="59"/>
      <c r="U63" s="59"/>
      <c r="V63" s="59"/>
      <c r="W63" s="59"/>
      <c r="X63" s="59">
        <f t="shared" ref="X63:AF63" si="56">G63/$R$63</f>
        <v>0.14285714285714285</v>
      </c>
      <c r="Y63" s="59">
        <f t="shared" si="56"/>
        <v>0.14285714285714285</v>
      </c>
      <c r="Z63" s="59"/>
      <c r="AA63" s="59"/>
      <c r="AB63" s="59"/>
      <c r="AC63" s="59"/>
      <c r="AD63" s="59"/>
      <c r="AE63" s="59"/>
      <c r="AF63" s="59">
        <f t="shared" si="56"/>
        <v>0.5714285714285714</v>
      </c>
      <c r="AG63" s="59"/>
      <c r="AH63" s="59"/>
      <c r="AI63" s="59">
        <f t="shared" si="1"/>
        <v>1</v>
      </c>
    </row>
    <row r="64" spans="1:35" x14ac:dyDescent="0.3">
      <c r="A64" s="1">
        <v>244</v>
      </c>
      <c r="B64" s="1"/>
      <c r="C64" s="1"/>
      <c r="D64" s="1"/>
      <c r="E64" s="1"/>
      <c r="F64" s="1"/>
      <c r="G64" s="1">
        <v>1</v>
      </c>
      <c r="H64" s="1"/>
      <c r="I64" s="1"/>
      <c r="J64" s="1"/>
      <c r="K64" s="1"/>
      <c r="L64" s="1"/>
      <c r="M64" s="1"/>
      <c r="N64" s="1"/>
      <c r="O64" s="1">
        <v>3</v>
      </c>
      <c r="P64" s="1"/>
      <c r="Q64" s="1"/>
      <c r="R64" s="5">
        <f t="shared" si="25"/>
        <v>4</v>
      </c>
      <c r="S64" s="59"/>
      <c r="T64" s="59"/>
      <c r="U64" s="59"/>
      <c r="V64" s="59"/>
      <c r="W64" s="59"/>
      <c r="X64" s="59">
        <f t="shared" ref="X64:AF64" si="57">G64/$R$64</f>
        <v>0.25</v>
      </c>
      <c r="Y64" s="59"/>
      <c r="Z64" s="59"/>
      <c r="AA64" s="59"/>
      <c r="AB64" s="59"/>
      <c r="AC64" s="59"/>
      <c r="AD64" s="59"/>
      <c r="AE64" s="59"/>
      <c r="AF64" s="59">
        <f t="shared" si="57"/>
        <v>0.75</v>
      </c>
      <c r="AG64" s="59"/>
      <c r="AH64" s="59"/>
      <c r="AI64" s="59">
        <f t="shared" si="1"/>
        <v>1</v>
      </c>
    </row>
    <row r="65" spans="1:35" x14ac:dyDescent="0.3">
      <c r="A65" s="1" t="s">
        <v>74</v>
      </c>
      <c r="B65" s="1"/>
      <c r="C65" s="1">
        <v>1</v>
      </c>
      <c r="D65" s="1"/>
      <c r="E65" s="1"/>
      <c r="F65" s="1">
        <v>1</v>
      </c>
      <c r="G65" s="1"/>
      <c r="H65" s="1"/>
      <c r="I65" s="1"/>
      <c r="J65" s="1"/>
      <c r="K65" s="1"/>
      <c r="L65" s="1"/>
      <c r="M65" s="1"/>
      <c r="N65" s="1"/>
      <c r="O65" s="1">
        <v>1</v>
      </c>
      <c r="P65" s="1"/>
      <c r="Q65" s="1"/>
      <c r="R65" s="5">
        <f t="shared" si="25"/>
        <v>3</v>
      </c>
      <c r="S65" s="59"/>
      <c r="T65" s="59">
        <f t="shared" ref="T65:AF65" si="58">C65/$R$65</f>
        <v>0.33333333333333331</v>
      </c>
      <c r="U65" s="59"/>
      <c r="V65" s="59"/>
      <c r="W65" s="59">
        <f t="shared" si="58"/>
        <v>0.33333333333333331</v>
      </c>
      <c r="X65" s="59"/>
      <c r="Y65" s="59"/>
      <c r="Z65" s="59"/>
      <c r="AA65" s="59"/>
      <c r="AB65" s="59"/>
      <c r="AC65" s="59"/>
      <c r="AD65" s="59"/>
      <c r="AE65" s="59"/>
      <c r="AF65" s="59">
        <f t="shared" si="58"/>
        <v>0.33333333333333331</v>
      </c>
      <c r="AG65" s="59"/>
      <c r="AH65" s="59"/>
      <c r="AI65" s="59">
        <f t="shared" si="1"/>
        <v>1</v>
      </c>
    </row>
    <row r="66" spans="1:35" x14ac:dyDescent="0.3">
      <c r="A66" s="1" t="s">
        <v>75</v>
      </c>
      <c r="B66" s="1"/>
      <c r="C66" s="1"/>
      <c r="D66" s="1"/>
      <c r="E66" s="1"/>
      <c r="F66" s="1"/>
      <c r="G66" s="1">
        <v>1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5">
        <f t="shared" ref="R66:R79" si="59">SUM(B66:Q66)</f>
        <v>1</v>
      </c>
      <c r="S66" s="59"/>
      <c r="T66" s="59"/>
      <c r="U66" s="59"/>
      <c r="V66" s="59"/>
      <c r="W66" s="59"/>
      <c r="X66" s="59">
        <f t="shared" ref="X66" si="60">G66/$R$66</f>
        <v>1</v>
      </c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>
        <f t="shared" si="1"/>
        <v>1</v>
      </c>
    </row>
    <row r="67" spans="1:35" x14ac:dyDescent="0.3">
      <c r="A67" s="1">
        <v>228</v>
      </c>
      <c r="B67" s="1"/>
      <c r="C67" s="1"/>
      <c r="D67" s="1"/>
      <c r="E67" s="1">
        <v>1</v>
      </c>
      <c r="F67" s="1">
        <v>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5">
        <f t="shared" si="59"/>
        <v>2</v>
      </c>
      <c r="S67" s="59"/>
      <c r="T67" s="59"/>
      <c r="U67" s="59"/>
      <c r="V67" s="59">
        <f t="shared" ref="V67:W67" si="61">E67/$R$67</f>
        <v>0.5</v>
      </c>
      <c r="W67" s="59">
        <f t="shared" si="61"/>
        <v>0.5</v>
      </c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>
        <f t="shared" ref="AI67:AI79" si="62">SUM(S67:AH67)</f>
        <v>1</v>
      </c>
    </row>
    <row r="68" spans="1:35" x14ac:dyDescent="0.3">
      <c r="A68" s="1" t="s">
        <v>76</v>
      </c>
      <c r="B68" s="1"/>
      <c r="C68" s="1"/>
      <c r="D68" s="1"/>
      <c r="E68" s="1">
        <v>1</v>
      </c>
      <c r="F68" s="1">
        <v>1</v>
      </c>
      <c r="G68" s="1">
        <v>1</v>
      </c>
      <c r="H68" s="1"/>
      <c r="I68" s="1"/>
      <c r="J68" s="1"/>
      <c r="K68" s="1"/>
      <c r="L68" s="1"/>
      <c r="M68" s="1"/>
      <c r="N68" s="1"/>
      <c r="O68" s="1">
        <v>3</v>
      </c>
      <c r="P68" s="1"/>
      <c r="Q68" s="1"/>
      <c r="R68" s="5">
        <f t="shared" si="59"/>
        <v>6</v>
      </c>
      <c r="S68" s="59"/>
      <c r="T68" s="59"/>
      <c r="U68" s="59"/>
      <c r="V68" s="59">
        <f t="shared" ref="V68:AF68" si="63">E68/$R$68</f>
        <v>0.16666666666666666</v>
      </c>
      <c r="W68" s="59">
        <f t="shared" si="63"/>
        <v>0.16666666666666666</v>
      </c>
      <c r="X68" s="59">
        <f t="shared" si="63"/>
        <v>0.16666666666666666</v>
      </c>
      <c r="Y68" s="59"/>
      <c r="Z68" s="59"/>
      <c r="AA68" s="59"/>
      <c r="AB68" s="59"/>
      <c r="AC68" s="59"/>
      <c r="AD68" s="59"/>
      <c r="AE68" s="59"/>
      <c r="AF68" s="59">
        <f t="shared" si="63"/>
        <v>0.5</v>
      </c>
      <c r="AG68" s="59"/>
      <c r="AH68" s="59"/>
      <c r="AI68" s="59">
        <f t="shared" si="62"/>
        <v>1</v>
      </c>
    </row>
    <row r="69" spans="1:35" x14ac:dyDescent="0.3">
      <c r="A69" s="1" t="s">
        <v>77</v>
      </c>
      <c r="B69" s="1"/>
      <c r="C69" s="1"/>
      <c r="D69" s="1"/>
      <c r="E69" s="1"/>
      <c r="F69" s="1"/>
      <c r="G69" s="1">
        <v>1</v>
      </c>
      <c r="H69" s="1">
        <v>1</v>
      </c>
      <c r="I69" s="1"/>
      <c r="J69" s="1"/>
      <c r="K69" s="1"/>
      <c r="L69" s="1"/>
      <c r="M69" s="1"/>
      <c r="N69" s="1"/>
      <c r="O69" s="1"/>
      <c r="P69" s="1"/>
      <c r="Q69" s="1"/>
      <c r="R69" s="5">
        <f t="shared" si="59"/>
        <v>2</v>
      </c>
      <c r="S69" s="59"/>
      <c r="T69" s="59"/>
      <c r="U69" s="59"/>
      <c r="V69" s="59"/>
      <c r="W69" s="59"/>
      <c r="X69" s="59">
        <f t="shared" ref="X69:Y69" si="64">G69/$R$69</f>
        <v>0.5</v>
      </c>
      <c r="Y69" s="59">
        <f t="shared" si="64"/>
        <v>0.5</v>
      </c>
      <c r="Z69" s="59"/>
      <c r="AA69" s="59"/>
      <c r="AB69" s="59"/>
      <c r="AC69" s="59"/>
      <c r="AD69" s="59"/>
      <c r="AE69" s="59"/>
      <c r="AF69" s="59"/>
      <c r="AG69" s="59"/>
      <c r="AH69" s="59"/>
      <c r="AI69" s="59">
        <f t="shared" si="62"/>
        <v>1</v>
      </c>
    </row>
    <row r="70" spans="1:35" x14ac:dyDescent="0.3">
      <c r="A70" s="1" t="s">
        <v>78</v>
      </c>
      <c r="B70" s="1"/>
      <c r="C70" s="1"/>
      <c r="D70" s="1"/>
      <c r="E70" s="1"/>
      <c r="F70" s="1"/>
      <c r="G70" s="1"/>
      <c r="H70" s="1">
        <v>1</v>
      </c>
      <c r="I70" s="1"/>
      <c r="J70" s="1"/>
      <c r="K70" s="1"/>
      <c r="L70" s="1"/>
      <c r="M70" s="1"/>
      <c r="N70" s="1"/>
      <c r="O70" s="1"/>
      <c r="P70" s="1"/>
      <c r="Q70" s="1"/>
      <c r="R70" s="5">
        <f t="shared" si="59"/>
        <v>1</v>
      </c>
      <c r="S70" s="59"/>
      <c r="T70" s="59"/>
      <c r="U70" s="59"/>
      <c r="V70" s="59"/>
      <c r="W70" s="59"/>
      <c r="X70" s="59"/>
      <c r="Y70" s="59">
        <f t="shared" ref="Y70" si="65">H70/$R$70</f>
        <v>1</v>
      </c>
      <c r="Z70" s="59"/>
      <c r="AA70" s="59"/>
      <c r="AB70" s="59"/>
      <c r="AC70" s="59"/>
      <c r="AD70" s="59"/>
      <c r="AE70" s="59"/>
      <c r="AF70" s="59"/>
      <c r="AG70" s="59"/>
      <c r="AH70" s="59"/>
      <c r="AI70" s="59">
        <f t="shared" si="62"/>
        <v>1</v>
      </c>
    </row>
    <row r="71" spans="1:35" x14ac:dyDescent="0.3">
      <c r="A71" s="1">
        <v>217</v>
      </c>
      <c r="B71" s="1"/>
      <c r="C71" s="1"/>
      <c r="D71" s="1"/>
      <c r="E71" s="1"/>
      <c r="F71" s="1">
        <v>2</v>
      </c>
      <c r="G71" s="1">
        <v>1</v>
      </c>
      <c r="H71" s="1">
        <v>1</v>
      </c>
      <c r="I71" s="1"/>
      <c r="J71" s="1"/>
      <c r="K71" s="1"/>
      <c r="L71" s="1"/>
      <c r="M71" s="1"/>
      <c r="N71" s="1"/>
      <c r="O71" s="1"/>
      <c r="P71" s="1"/>
      <c r="Q71" s="1"/>
      <c r="R71" s="5">
        <f t="shared" si="59"/>
        <v>4</v>
      </c>
      <c r="S71" s="59"/>
      <c r="T71" s="59"/>
      <c r="U71" s="59"/>
      <c r="V71" s="59"/>
      <c r="W71" s="59">
        <f t="shared" ref="W71:Y71" si="66">F71/$R$71</f>
        <v>0.5</v>
      </c>
      <c r="X71" s="59">
        <f t="shared" si="66"/>
        <v>0.25</v>
      </c>
      <c r="Y71" s="59">
        <f t="shared" si="66"/>
        <v>0.25</v>
      </c>
      <c r="Z71" s="59"/>
      <c r="AA71" s="59"/>
      <c r="AB71" s="59"/>
      <c r="AC71" s="59"/>
      <c r="AD71" s="59"/>
      <c r="AE71" s="59"/>
      <c r="AF71" s="59"/>
      <c r="AG71" s="59"/>
      <c r="AH71" s="59"/>
      <c r="AI71" s="59">
        <f t="shared" si="62"/>
        <v>1</v>
      </c>
    </row>
    <row r="72" spans="1:35" x14ac:dyDescent="0.3">
      <c r="A72" s="1" t="s">
        <v>80</v>
      </c>
      <c r="B72" s="1"/>
      <c r="C72" s="1">
        <v>1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5">
        <f t="shared" si="59"/>
        <v>1</v>
      </c>
      <c r="S72" s="59"/>
      <c r="T72" s="59">
        <f t="shared" ref="T72" si="67">C72/$R$72</f>
        <v>1</v>
      </c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>
        <f t="shared" si="62"/>
        <v>1</v>
      </c>
    </row>
    <row r="73" spans="1:35" x14ac:dyDescent="0.3">
      <c r="A73" s="1" t="s">
        <v>81</v>
      </c>
      <c r="B73" s="1"/>
      <c r="C73" s="1">
        <v>1</v>
      </c>
      <c r="D73" s="1"/>
      <c r="E73" s="1"/>
      <c r="F73" s="1">
        <v>1</v>
      </c>
      <c r="G73" s="1"/>
      <c r="H73" s="1"/>
      <c r="I73" s="1">
        <v>1</v>
      </c>
      <c r="J73" s="1"/>
      <c r="K73" s="1"/>
      <c r="L73" s="1"/>
      <c r="M73" s="1"/>
      <c r="N73" s="1"/>
      <c r="O73" s="1">
        <v>2</v>
      </c>
      <c r="P73" s="1"/>
      <c r="Q73" s="1"/>
      <c r="R73" s="5">
        <f t="shared" si="59"/>
        <v>5</v>
      </c>
      <c r="S73" s="59"/>
      <c r="T73" s="59">
        <f t="shared" ref="T73:AF73" si="68">C73/$R$73</f>
        <v>0.2</v>
      </c>
      <c r="U73" s="59"/>
      <c r="V73" s="59"/>
      <c r="W73" s="59">
        <f t="shared" si="68"/>
        <v>0.2</v>
      </c>
      <c r="X73" s="59"/>
      <c r="Y73" s="59"/>
      <c r="Z73" s="59">
        <f t="shared" si="68"/>
        <v>0.2</v>
      </c>
      <c r="AA73" s="59"/>
      <c r="AB73" s="59"/>
      <c r="AC73" s="59"/>
      <c r="AD73" s="59"/>
      <c r="AE73" s="59"/>
      <c r="AF73" s="59">
        <f t="shared" si="68"/>
        <v>0.4</v>
      </c>
      <c r="AG73" s="59"/>
      <c r="AH73" s="59"/>
      <c r="AI73" s="59">
        <f t="shared" si="62"/>
        <v>1</v>
      </c>
    </row>
    <row r="74" spans="1:35" x14ac:dyDescent="0.3">
      <c r="A74" s="1">
        <v>352</v>
      </c>
      <c r="B74" s="1"/>
      <c r="C74" s="1"/>
      <c r="D74" s="1">
        <v>1</v>
      </c>
      <c r="E74" s="1"/>
      <c r="F74" s="1"/>
      <c r="G74" s="1"/>
      <c r="H74" s="1"/>
      <c r="I74" s="1"/>
      <c r="J74" s="1"/>
      <c r="K74" s="1"/>
      <c r="L74" s="1"/>
      <c r="M74" s="1">
        <v>1</v>
      </c>
      <c r="N74" s="1"/>
      <c r="O74" s="1"/>
      <c r="P74" s="1"/>
      <c r="Q74" s="1"/>
      <c r="R74" s="5">
        <f t="shared" si="59"/>
        <v>2</v>
      </c>
      <c r="S74" s="59"/>
      <c r="T74" s="59"/>
      <c r="U74" s="59">
        <f t="shared" ref="U74:AD74" si="69">D74/$R$74</f>
        <v>0.5</v>
      </c>
      <c r="V74" s="59"/>
      <c r="W74" s="59"/>
      <c r="X74" s="59"/>
      <c r="Y74" s="59"/>
      <c r="Z74" s="59"/>
      <c r="AA74" s="59"/>
      <c r="AB74" s="59"/>
      <c r="AC74" s="59"/>
      <c r="AD74" s="59">
        <f t="shared" si="69"/>
        <v>0.5</v>
      </c>
      <c r="AE74" s="59"/>
      <c r="AF74" s="59"/>
      <c r="AG74" s="59"/>
      <c r="AH74" s="59"/>
      <c r="AI74" s="59">
        <f t="shared" si="62"/>
        <v>1</v>
      </c>
    </row>
    <row r="75" spans="1:35" x14ac:dyDescent="0.3">
      <c r="A75" s="1">
        <v>332</v>
      </c>
      <c r="B75" s="1"/>
      <c r="C75" s="1"/>
      <c r="D75" s="1">
        <v>1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5">
        <f t="shared" si="59"/>
        <v>1</v>
      </c>
      <c r="S75" s="59"/>
      <c r="T75" s="59"/>
      <c r="U75" s="59">
        <f t="shared" ref="U75" si="70">D75/$R$75</f>
        <v>1</v>
      </c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>
        <f t="shared" si="62"/>
        <v>1</v>
      </c>
    </row>
    <row r="76" spans="1:35" x14ac:dyDescent="0.3">
      <c r="A76" s="1">
        <v>339</v>
      </c>
      <c r="B76" s="1"/>
      <c r="C76" s="1"/>
      <c r="D76" s="1">
        <v>1</v>
      </c>
      <c r="E76" s="1"/>
      <c r="F76" s="1">
        <v>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5">
        <f t="shared" si="59"/>
        <v>2</v>
      </c>
      <c r="S76" s="59"/>
      <c r="T76" s="59"/>
      <c r="U76" s="59">
        <f t="shared" ref="U76:W76" si="71">D76/$R$76</f>
        <v>0.5</v>
      </c>
      <c r="V76" s="59"/>
      <c r="W76" s="59">
        <f t="shared" si="71"/>
        <v>0.5</v>
      </c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>
        <f t="shared" si="62"/>
        <v>1</v>
      </c>
    </row>
    <row r="77" spans="1:35" x14ac:dyDescent="0.3">
      <c r="A77" s="1">
        <v>347</v>
      </c>
      <c r="B77" s="1"/>
      <c r="C77" s="1"/>
      <c r="D77" s="1">
        <v>1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5">
        <f t="shared" si="59"/>
        <v>1</v>
      </c>
      <c r="S77" s="59"/>
      <c r="T77" s="59"/>
      <c r="U77" s="59">
        <f t="shared" ref="U77" si="72">D77/$R$77</f>
        <v>1</v>
      </c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>
        <f t="shared" si="62"/>
        <v>1</v>
      </c>
    </row>
    <row r="78" spans="1:35" x14ac:dyDescent="0.3">
      <c r="A78" s="1">
        <v>346</v>
      </c>
      <c r="B78" s="1"/>
      <c r="C78" s="1"/>
      <c r="D78" s="1">
        <v>1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5">
        <f t="shared" si="59"/>
        <v>1</v>
      </c>
      <c r="S78" s="59"/>
      <c r="T78" s="59"/>
      <c r="U78" s="59">
        <f t="shared" ref="U78" si="73">D78/$R$78</f>
        <v>1</v>
      </c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>
        <f t="shared" si="62"/>
        <v>1</v>
      </c>
    </row>
    <row r="79" spans="1:35" x14ac:dyDescent="0.3">
      <c r="A79" s="1">
        <v>353</v>
      </c>
      <c r="B79" s="1"/>
      <c r="C79" s="1"/>
      <c r="D79" s="1"/>
      <c r="E79" s="1">
        <v>1</v>
      </c>
      <c r="F79" s="1">
        <v>3</v>
      </c>
      <c r="G79" s="1"/>
      <c r="H79" s="1"/>
      <c r="I79" s="1"/>
      <c r="J79" s="1"/>
      <c r="K79" s="1"/>
      <c r="L79" s="1"/>
      <c r="M79" s="1"/>
      <c r="N79" s="1"/>
      <c r="O79" s="1">
        <v>9</v>
      </c>
      <c r="P79" s="1"/>
      <c r="Q79" s="1"/>
      <c r="R79" s="5">
        <f t="shared" si="59"/>
        <v>13</v>
      </c>
      <c r="S79" s="59"/>
      <c r="T79" s="59"/>
      <c r="U79" s="59"/>
      <c r="V79" s="59">
        <f t="shared" ref="V79:AF79" si="74">E79/$R$79</f>
        <v>7.6923076923076927E-2</v>
      </c>
      <c r="W79" s="59">
        <f t="shared" si="74"/>
        <v>0.23076923076923078</v>
      </c>
      <c r="X79" s="59"/>
      <c r="Y79" s="59"/>
      <c r="Z79" s="59"/>
      <c r="AA79" s="59"/>
      <c r="AB79" s="59"/>
      <c r="AC79" s="59"/>
      <c r="AD79" s="59"/>
      <c r="AE79" s="59"/>
      <c r="AF79" s="59">
        <f t="shared" si="74"/>
        <v>0.69230769230769229</v>
      </c>
      <c r="AG79" s="59"/>
      <c r="AH79" s="59"/>
      <c r="AI79" s="59">
        <f t="shared" si="62"/>
        <v>1</v>
      </c>
    </row>
    <row r="80" spans="1:35" x14ac:dyDescent="0.3">
      <c r="A80" s="64" t="s">
        <v>89</v>
      </c>
      <c r="B80" s="64">
        <f>SUM(B2:B79)</f>
        <v>7</v>
      </c>
      <c r="C80" s="64">
        <f t="shared" ref="C80:O80" si="75">SUM(C2:C79)</f>
        <v>11</v>
      </c>
      <c r="D80" s="64">
        <f t="shared" si="75"/>
        <v>15</v>
      </c>
      <c r="E80" s="64">
        <f t="shared" si="75"/>
        <v>15</v>
      </c>
      <c r="F80" s="64">
        <f t="shared" si="75"/>
        <v>59</v>
      </c>
      <c r="G80" s="64">
        <f t="shared" si="75"/>
        <v>44</v>
      </c>
      <c r="H80" s="64">
        <f t="shared" si="75"/>
        <v>7</v>
      </c>
      <c r="I80" s="64">
        <f t="shared" si="75"/>
        <v>4</v>
      </c>
      <c r="J80" s="64">
        <f t="shared" si="75"/>
        <v>1</v>
      </c>
      <c r="K80" s="64">
        <f t="shared" si="75"/>
        <v>6</v>
      </c>
      <c r="L80" s="64">
        <f t="shared" si="75"/>
        <v>1</v>
      </c>
      <c r="M80" s="64">
        <f t="shared" si="75"/>
        <v>5</v>
      </c>
      <c r="N80" s="64">
        <f t="shared" si="75"/>
        <v>7</v>
      </c>
      <c r="O80" s="64">
        <f t="shared" si="75"/>
        <v>82</v>
      </c>
      <c r="P80" s="64">
        <f>SUM(P2:P79)</f>
        <v>2</v>
      </c>
      <c r="Q80" s="64">
        <f t="shared" ref="Q80" si="76">SUM(Q2:Q79)</f>
        <v>1</v>
      </c>
      <c r="R80" s="60" t="s">
        <v>87</v>
      </c>
      <c r="S80" s="61">
        <f>AVERAGE(S2:S79)</f>
        <v>0.2536054421768707</v>
      </c>
      <c r="T80" s="61">
        <f t="shared" ref="T80:AI80" si="77">AVERAGE(T2:T79)</f>
        <v>0.47000000000000003</v>
      </c>
      <c r="U80" s="61">
        <f t="shared" si="77"/>
        <v>0.4588253968253968</v>
      </c>
      <c r="V80" s="61">
        <f t="shared" si="77"/>
        <v>0.34084249084249085</v>
      </c>
      <c r="W80" s="61">
        <f t="shared" si="77"/>
        <v>0.39149750712250714</v>
      </c>
      <c r="X80" s="62">
        <f t="shared" si="77"/>
        <v>0.47387966039128837</v>
      </c>
      <c r="Y80" s="62">
        <f t="shared" si="77"/>
        <v>0.3702721088435374</v>
      </c>
      <c r="Z80" s="62">
        <f t="shared" si="77"/>
        <v>0.45555555555555549</v>
      </c>
      <c r="AA80" s="62">
        <f t="shared" si="77"/>
        <v>0.14285714285714285</v>
      </c>
      <c r="AB80" s="62">
        <f t="shared" si="77"/>
        <v>0.3432539682539682</v>
      </c>
      <c r="AC80" s="62">
        <f t="shared" si="77"/>
        <v>0.2</v>
      </c>
      <c r="AD80" s="62">
        <f t="shared" si="77"/>
        <v>0.34933333333333333</v>
      </c>
      <c r="AE80" s="62">
        <f t="shared" si="77"/>
        <v>0.4861111111111111</v>
      </c>
      <c r="AF80" s="62">
        <f t="shared" si="77"/>
        <v>0.50249306249306247</v>
      </c>
      <c r="AG80" s="62">
        <f t="shared" si="77"/>
        <v>0.25</v>
      </c>
      <c r="AH80" s="62">
        <f t="shared" si="77"/>
        <v>0.5</v>
      </c>
      <c r="AI80" s="63">
        <f t="shared" si="77"/>
        <v>0.99974358974358979</v>
      </c>
    </row>
    <row r="81" spans="1:35" x14ac:dyDescent="0.3">
      <c r="S81">
        <f>AVERAGE(S2:V79)</f>
        <v>0.39298417894162579</v>
      </c>
      <c r="T81" s="9"/>
      <c r="AC81">
        <f>AVERAGE(AC2:AH79)</f>
        <v>0.46090446590446593</v>
      </c>
    </row>
    <row r="82" spans="1:35" x14ac:dyDescent="0.3">
      <c r="A82" s="7" t="s">
        <v>4</v>
      </c>
      <c r="B82" s="7" t="s">
        <v>5</v>
      </c>
      <c r="C82" s="7" t="s">
        <v>7</v>
      </c>
      <c r="D82" s="7" t="s">
        <v>9</v>
      </c>
      <c r="E82" s="7" t="s">
        <v>11</v>
      </c>
      <c r="F82" s="7" t="s">
        <v>13</v>
      </c>
      <c r="G82" s="7" t="s">
        <v>15</v>
      </c>
      <c r="H82" s="7" t="s">
        <v>17</v>
      </c>
      <c r="I82" s="7" t="s">
        <v>19</v>
      </c>
      <c r="J82" s="7" t="s">
        <v>21</v>
      </c>
      <c r="K82" s="7" t="s">
        <v>23</v>
      </c>
      <c r="L82" s="7" t="s">
        <v>31</v>
      </c>
      <c r="M82" s="7" t="s">
        <v>33</v>
      </c>
      <c r="N82" s="7" t="s">
        <v>35</v>
      </c>
      <c r="O82" s="7" t="s">
        <v>37</v>
      </c>
      <c r="P82" s="7" t="s">
        <v>39</v>
      </c>
      <c r="Q82" s="7" t="s">
        <v>41</v>
      </c>
      <c r="R82" s="7" t="s">
        <v>83</v>
      </c>
      <c r="S82" s="7" t="s">
        <v>6</v>
      </c>
      <c r="T82" s="7" t="s">
        <v>8</v>
      </c>
      <c r="U82" s="7" t="s">
        <v>10</v>
      </c>
      <c r="V82" s="7" t="s">
        <v>12</v>
      </c>
      <c r="W82" s="7" t="s">
        <v>14</v>
      </c>
      <c r="X82" s="7" t="s">
        <v>16</v>
      </c>
      <c r="Y82" s="7" t="s">
        <v>18</v>
      </c>
      <c r="Z82" s="7" t="s">
        <v>20</v>
      </c>
      <c r="AA82" s="7" t="s">
        <v>22</v>
      </c>
      <c r="AB82" s="7" t="s">
        <v>24</v>
      </c>
      <c r="AC82" s="7" t="s">
        <v>32</v>
      </c>
      <c r="AD82" s="7" t="s">
        <v>34</v>
      </c>
      <c r="AE82" s="7" t="s">
        <v>36</v>
      </c>
      <c r="AF82" s="7" t="s">
        <v>38</v>
      </c>
      <c r="AG82" s="7" t="s">
        <v>40</v>
      </c>
      <c r="AH82" s="7" t="s">
        <v>42</v>
      </c>
      <c r="AI82" s="7" t="s">
        <v>89</v>
      </c>
    </row>
    <row r="83" spans="1:35" x14ac:dyDescent="0.3">
      <c r="A83" s="1">
        <v>3</v>
      </c>
      <c r="B83" s="65"/>
      <c r="C83" s="65">
        <v>3.0659999999999998</v>
      </c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>
        <v>0.02</v>
      </c>
      <c r="P83" s="65"/>
      <c r="Q83" s="65"/>
      <c r="R83" s="66">
        <f>SUM(B83:Q83)</f>
        <v>3.0859999999999999</v>
      </c>
      <c r="S83" s="67"/>
      <c r="T83" s="67">
        <f t="shared" ref="T83:AF83" si="78">C83/$R$83</f>
        <v>0.99351911860012965</v>
      </c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>
        <f t="shared" si="78"/>
        <v>6.4808813998703824E-3</v>
      </c>
      <c r="AG83" s="68"/>
      <c r="AH83" s="68"/>
      <c r="AI83" s="59">
        <f>SUM(S83:AH83)</f>
        <v>1</v>
      </c>
    </row>
    <row r="84" spans="1:35" x14ac:dyDescent="0.3">
      <c r="A84" s="1" t="s">
        <v>52</v>
      </c>
      <c r="B84" s="65"/>
      <c r="C84" s="65"/>
      <c r="D84" s="65"/>
      <c r="E84" s="65"/>
      <c r="F84" s="65">
        <v>2.78</v>
      </c>
      <c r="G84" s="65"/>
      <c r="H84" s="65"/>
      <c r="I84" s="65"/>
      <c r="J84" s="65"/>
      <c r="K84" s="65"/>
      <c r="L84" s="65"/>
      <c r="M84" s="65">
        <v>2.3E-2</v>
      </c>
      <c r="N84" s="65"/>
      <c r="O84" s="65"/>
      <c r="P84" s="65"/>
      <c r="Q84" s="65"/>
      <c r="R84" s="66">
        <f t="shared" ref="R84:R147" si="79">SUM(B84:Q84)</f>
        <v>2.8029999999999999</v>
      </c>
      <c r="S84" s="67"/>
      <c r="T84" s="68"/>
      <c r="U84" s="68"/>
      <c r="V84" s="68"/>
      <c r="W84" s="68">
        <f t="shared" ref="W84:AD84" si="80">F84/$R$84</f>
        <v>0.99179450588655005</v>
      </c>
      <c r="X84" s="68"/>
      <c r="Y84" s="68"/>
      <c r="Z84" s="68"/>
      <c r="AA84" s="68"/>
      <c r="AB84" s="68"/>
      <c r="AC84" s="68"/>
      <c r="AD84" s="68">
        <f t="shared" si="80"/>
        <v>8.2054941134498752E-3</v>
      </c>
      <c r="AE84" s="68"/>
      <c r="AF84" s="68"/>
      <c r="AG84" s="68"/>
      <c r="AH84" s="68"/>
      <c r="AI84" s="59">
        <f t="shared" ref="AI84:AI147" si="81">SUM(S84:AH84)</f>
        <v>0.99999999999999989</v>
      </c>
    </row>
    <row r="85" spans="1:35" x14ac:dyDescent="0.3">
      <c r="A85" s="1" t="s">
        <v>54</v>
      </c>
      <c r="B85" s="65"/>
      <c r="C85" s="65"/>
      <c r="D85" s="65">
        <v>1.9379999999999999</v>
      </c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>
        <v>5.0000000000000001E-3</v>
      </c>
      <c r="P85" s="65"/>
      <c r="Q85" s="65"/>
      <c r="R85" s="66">
        <f t="shared" si="79"/>
        <v>1.9429999999999998</v>
      </c>
      <c r="S85" s="67"/>
      <c r="T85" s="68"/>
      <c r="U85" s="68">
        <f t="shared" ref="U85:AF85" si="82">D85/$R$85</f>
        <v>0.99742665980442624</v>
      </c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>
        <f t="shared" si="82"/>
        <v>2.5733401955738552E-3</v>
      </c>
      <c r="AG85" s="68"/>
      <c r="AH85" s="68"/>
      <c r="AI85" s="59">
        <f t="shared" si="81"/>
        <v>1</v>
      </c>
    </row>
    <row r="86" spans="1:35" x14ac:dyDescent="0.3">
      <c r="A86" s="1">
        <v>142</v>
      </c>
      <c r="B86" s="65"/>
      <c r="C86" s="65"/>
      <c r="D86" s="65"/>
      <c r="E86" s="65"/>
      <c r="F86" s="65">
        <v>0.14499999999999999</v>
      </c>
      <c r="G86" s="65">
        <v>0.11</v>
      </c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6">
        <f t="shared" si="79"/>
        <v>0.255</v>
      </c>
      <c r="S86" s="67"/>
      <c r="T86" s="68"/>
      <c r="U86" s="68"/>
      <c r="V86" s="68"/>
      <c r="W86" s="68">
        <f t="shared" ref="W86:X86" si="83">F86/$R$86</f>
        <v>0.56862745098039214</v>
      </c>
      <c r="X86" s="68">
        <f t="shared" si="83"/>
        <v>0.43137254901960786</v>
      </c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59">
        <f t="shared" si="81"/>
        <v>1</v>
      </c>
    </row>
    <row r="87" spans="1:35" x14ac:dyDescent="0.3">
      <c r="A87" s="1">
        <v>2</v>
      </c>
      <c r="B87" s="65"/>
      <c r="C87" s="65"/>
      <c r="D87" s="65">
        <v>1.115</v>
      </c>
      <c r="E87" s="65"/>
      <c r="F87" s="65">
        <v>0.57699999999999996</v>
      </c>
      <c r="G87" s="65"/>
      <c r="H87" s="65"/>
      <c r="I87" s="65"/>
      <c r="J87" s="65"/>
      <c r="K87" s="65"/>
      <c r="L87" s="65"/>
      <c r="M87" s="65"/>
      <c r="N87" s="65"/>
      <c r="O87" s="65">
        <v>8.0000000000000002E-3</v>
      </c>
      <c r="P87" s="65"/>
      <c r="Q87" s="65"/>
      <c r="R87" s="66">
        <f t="shared" si="79"/>
        <v>1.7</v>
      </c>
      <c r="S87" s="67"/>
      <c r="T87" s="68"/>
      <c r="U87" s="68">
        <f t="shared" ref="U87:AF87" si="84">D87/$R$87</f>
        <v>0.65588235294117647</v>
      </c>
      <c r="V87" s="68"/>
      <c r="W87" s="68">
        <f t="shared" si="84"/>
        <v>0.33941176470588236</v>
      </c>
      <c r="X87" s="68"/>
      <c r="Y87" s="68"/>
      <c r="Z87" s="68"/>
      <c r="AA87" s="68"/>
      <c r="AB87" s="68"/>
      <c r="AC87" s="68"/>
      <c r="AD87" s="68"/>
      <c r="AE87" s="68"/>
      <c r="AF87" s="68">
        <f t="shared" si="84"/>
        <v>4.7058823529411769E-3</v>
      </c>
      <c r="AG87" s="68"/>
      <c r="AH87" s="68"/>
      <c r="AI87" s="59">
        <f t="shared" si="81"/>
        <v>1</v>
      </c>
    </row>
    <row r="88" spans="1:35" x14ac:dyDescent="0.3">
      <c r="A88" s="1" t="s">
        <v>58</v>
      </c>
      <c r="B88" s="65"/>
      <c r="C88" s="65"/>
      <c r="D88" s="65"/>
      <c r="E88" s="65"/>
      <c r="F88" s="65">
        <v>1.552</v>
      </c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6">
        <f t="shared" si="79"/>
        <v>1.552</v>
      </c>
      <c r="S88" s="67"/>
      <c r="T88" s="68"/>
      <c r="U88" s="68"/>
      <c r="V88" s="68"/>
      <c r="W88" s="68">
        <f t="shared" ref="W88" si="85">F88/$R$88</f>
        <v>1</v>
      </c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59">
        <f t="shared" si="81"/>
        <v>1</v>
      </c>
    </row>
    <row r="89" spans="1:35" x14ac:dyDescent="0.3">
      <c r="A89" s="1">
        <v>161</v>
      </c>
      <c r="B89" s="65"/>
      <c r="C89" s="65">
        <v>2.7309999999999999</v>
      </c>
      <c r="D89" s="65"/>
      <c r="E89" s="65"/>
      <c r="F89" s="65">
        <v>0.46500000000000002</v>
      </c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6">
        <f t="shared" si="79"/>
        <v>3.1959999999999997</v>
      </c>
      <c r="S89" s="67"/>
      <c r="T89" s="68">
        <f t="shared" ref="T89:W89" si="86">C89/$R$89</f>
        <v>0.85450563204005014</v>
      </c>
      <c r="U89" s="68"/>
      <c r="V89" s="68"/>
      <c r="W89" s="68">
        <f t="shared" si="86"/>
        <v>0.14549436795994997</v>
      </c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59">
        <f t="shared" si="81"/>
        <v>1</v>
      </c>
    </row>
    <row r="90" spans="1:35" x14ac:dyDescent="0.3">
      <c r="A90" s="1">
        <v>172</v>
      </c>
      <c r="B90" s="65">
        <v>0.63800000000000001</v>
      </c>
      <c r="C90" s="65"/>
      <c r="D90" s="65"/>
      <c r="E90" s="65"/>
      <c r="F90" s="65">
        <v>0.2</v>
      </c>
      <c r="G90" s="65"/>
      <c r="H90" s="65">
        <v>0.17499999999999999</v>
      </c>
      <c r="I90" s="65"/>
      <c r="J90" s="65"/>
      <c r="K90" s="65"/>
      <c r="L90" s="65"/>
      <c r="M90" s="65"/>
      <c r="N90" s="65"/>
      <c r="O90" s="65"/>
      <c r="P90" s="65"/>
      <c r="Q90" s="65"/>
      <c r="R90" s="66">
        <f t="shared" si="79"/>
        <v>1.0130000000000001</v>
      </c>
      <c r="S90" s="67">
        <f>B90/$R$90</f>
        <v>0.62981243830207301</v>
      </c>
      <c r="T90" s="68"/>
      <c r="U90" s="68"/>
      <c r="V90" s="68"/>
      <c r="W90" s="68">
        <f t="shared" ref="W90:Y90" si="87">F90/$R$90</f>
        <v>0.19743336623889435</v>
      </c>
      <c r="X90" s="68"/>
      <c r="Y90" s="68">
        <f t="shared" si="87"/>
        <v>0.17275419545903253</v>
      </c>
      <c r="Z90" s="68"/>
      <c r="AA90" s="68"/>
      <c r="AB90" s="68"/>
      <c r="AC90" s="68"/>
      <c r="AD90" s="68"/>
      <c r="AE90" s="68"/>
      <c r="AF90" s="68"/>
      <c r="AG90" s="68"/>
      <c r="AH90" s="68"/>
      <c r="AI90" s="59">
        <f t="shared" si="81"/>
        <v>1</v>
      </c>
    </row>
    <row r="91" spans="1:35" x14ac:dyDescent="0.3">
      <c r="A91" s="1">
        <v>169</v>
      </c>
      <c r="B91" s="65"/>
      <c r="C91" s="65"/>
      <c r="D91" s="65"/>
      <c r="E91" s="65"/>
      <c r="F91" s="65">
        <v>2.129</v>
      </c>
      <c r="G91" s="65"/>
      <c r="H91" s="65"/>
      <c r="I91" s="65"/>
      <c r="J91" s="65"/>
      <c r="K91" s="65"/>
      <c r="L91" s="65"/>
      <c r="M91" s="65">
        <v>3.5000000000000003E-2</v>
      </c>
      <c r="N91" s="65"/>
      <c r="O91" s="65"/>
      <c r="P91" s="65"/>
      <c r="Q91" s="65"/>
      <c r="R91" s="66">
        <f t="shared" si="79"/>
        <v>2.1640000000000001</v>
      </c>
      <c r="S91" s="67"/>
      <c r="T91" s="68"/>
      <c r="U91" s="68"/>
      <c r="V91" s="68"/>
      <c r="W91" s="68">
        <f t="shared" ref="W91:AD91" si="88">F91/$R$91</f>
        <v>0.98382624768946392</v>
      </c>
      <c r="X91" s="68"/>
      <c r="Y91" s="68"/>
      <c r="Z91" s="68"/>
      <c r="AA91" s="68"/>
      <c r="AB91" s="68"/>
      <c r="AC91" s="68"/>
      <c r="AD91" s="68">
        <f t="shared" si="88"/>
        <v>1.6173752310536044E-2</v>
      </c>
      <c r="AE91" s="68"/>
      <c r="AF91" s="68"/>
      <c r="AG91" s="68"/>
      <c r="AH91" s="68"/>
      <c r="AI91" s="59">
        <f t="shared" si="81"/>
        <v>1</v>
      </c>
    </row>
    <row r="92" spans="1:35" x14ac:dyDescent="0.3">
      <c r="A92" s="1" t="s">
        <v>60</v>
      </c>
      <c r="B92" s="65"/>
      <c r="C92" s="65"/>
      <c r="D92" s="65"/>
      <c r="E92" s="65"/>
      <c r="F92" s="65">
        <v>0.95</v>
      </c>
      <c r="G92" s="65">
        <v>2.5449999999999999</v>
      </c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6">
        <f t="shared" si="79"/>
        <v>3.4950000000000001</v>
      </c>
      <c r="S92" s="67"/>
      <c r="T92" s="68"/>
      <c r="U92" s="68"/>
      <c r="V92" s="68"/>
      <c r="W92" s="68">
        <f t="shared" ref="W92:X92" si="89">F92/$R$92</f>
        <v>0.27181688125894132</v>
      </c>
      <c r="X92" s="68">
        <f t="shared" si="89"/>
        <v>0.72818311874105857</v>
      </c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59">
        <f t="shared" si="81"/>
        <v>0.99999999999999989</v>
      </c>
    </row>
    <row r="93" spans="1:35" x14ac:dyDescent="0.3">
      <c r="A93" s="1">
        <v>173</v>
      </c>
      <c r="B93" s="65"/>
      <c r="C93" s="65"/>
      <c r="D93" s="65"/>
      <c r="E93" s="65"/>
      <c r="F93" s="65"/>
      <c r="G93" s="65">
        <v>4.17</v>
      </c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6">
        <f t="shared" si="79"/>
        <v>4.17</v>
      </c>
      <c r="S93" s="67"/>
      <c r="T93" s="68"/>
      <c r="U93" s="68"/>
      <c r="V93" s="68"/>
      <c r="W93" s="68"/>
      <c r="X93" s="68">
        <f t="shared" ref="X93" si="90">G93/$R$93</f>
        <v>1</v>
      </c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59">
        <f t="shared" si="81"/>
        <v>1</v>
      </c>
    </row>
    <row r="94" spans="1:35" x14ac:dyDescent="0.3">
      <c r="A94" s="1">
        <v>251</v>
      </c>
      <c r="B94" s="65"/>
      <c r="C94" s="65"/>
      <c r="D94" s="65">
        <v>0.72399999999999998</v>
      </c>
      <c r="E94" s="65">
        <v>4.6500000000000004</v>
      </c>
      <c r="F94" s="65">
        <v>0.22600000000000001</v>
      </c>
      <c r="G94" s="65"/>
      <c r="H94" s="65"/>
      <c r="I94" s="65"/>
      <c r="J94" s="65">
        <v>8.9999999999999993E-3</v>
      </c>
      <c r="K94" s="65"/>
      <c r="L94" s="65"/>
      <c r="M94" s="65"/>
      <c r="N94" s="65"/>
      <c r="O94" s="65">
        <v>7.0000000000000001E-3</v>
      </c>
      <c r="P94" s="65"/>
      <c r="Q94" s="65"/>
      <c r="R94" s="66">
        <f t="shared" si="79"/>
        <v>5.6160000000000005</v>
      </c>
      <c r="S94" s="67"/>
      <c r="T94" s="68"/>
      <c r="U94" s="68">
        <f t="shared" ref="U94:AF94" si="91">D94/$R$94</f>
        <v>0.12891737891737889</v>
      </c>
      <c r="V94" s="68">
        <f t="shared" si="91"/>
        <v>0.82799145299145294</v>
      </c>
      <c r="W94" s="68">
        <f t="shared" si="91"/>
        <v>4.0242165242165243E-2</v>
      </c>
      <c r="X94" s="68"/>
      <c r="Y94" s="68"/>
      <c r="Z94" s="68"/>
      <c r="AA94" s="68">
        <f t="shared" si="91"/>
        <v>1.6025641025641023E-3</v>
      </c>
      <c r="AB94" s="68"/>
      <c r="AC94" s="68"/>
      <c r="AD94" s="68"/>
      <c r="AE94" s="68"/>
      <c r="AF94" s="67">
        <f t="shared" si="91"/>
        <v>1.2464387464387464E-3</v>
      </c>
      <c r="AG94" s="68"/>
      <c r="AH94" s="68"/>
      <c r="AI94" s="59">
        <f t="shared" si="81"/>
        <v>0.99999999999999989</v>
      </c>
    </row>
    <row r="95" spans="1:35" x14ac:dyDescent="0.3">
      <c r="A95" s="1">
        <v>4</v>
      </c>
      <c r="B95" s="65"/>
      <c r="C95" s="65"/>
      <c r="D95" s="65">
        <v>0.72</v>
      </c>
      <c r="E95" s="65">
        <v>2.1</v>
      </c>
      <c r="F95" s="65"/>
      <c r="G95" s="65">
        <v>1.6819999999999999</v>
      </c>
      <c r="H95" s="65"/>
      <c r="I95" s="65"/>
      <c r="J95" s="65"/>
      <c r="K95" s="65">
        <v>0.2</v>
      </c>
      <c r="L95" s="65"/>
      <c r="M95" s="65"/>
      <c r="N95" s="65"/>
      <c r="O95" s="65"/>
      <c r="P95" s="65"/>
      <c r="Q95" s="65"/>
      <c r="R95" s="66">
        <f t="shared" si="79"/>
        <v>4.7020000000000008</v>
      </c>
      <c r="S95" s="67"/>
      <c r="T95" s="68"/>
      <c r="U95" s="68">
        <f t="shared" ref="U95:AB95" si="92">D95/$R$95</f>
        <v>0.15312632922160779</v>
      </c>
      <c r="V95" s="68">
        <f t="shared" si="92"/>
        <v>0.44661846022968943</v>
      </c>
      <c r="W95" s="68"/>
      <c r="X95" s="68">
        <f t="shared" si="92"/>
        <v>0.35772011909825596</v>
      </c>
      <c r="Y95" s="68"/>
      <c r="Z95" s="68"/>
      <c r="AA95" s="68"/>
      <c r="AB95" s="68">
        <f t="shared" si="92"/>
        <v>4.2535091450446615E-2</v>
      </c>
      <c r="AC95" s="68"/>
      <c r="AD95" s="68"/>
      <c r="AE95" s="68"/>
      <c r="AF95" s="68"/>
      <c r="AG95" s="68"/>
      <c r="AH95" s="68"/>
      <c r="AI95" s="59">
        <f t="shared" si="81"/>
        <v>0.99999999999999989</v>
      </c>
    </row>
    <row r="96" spans="1:35" x14ac:dyDescent="0.3">
      <c r="A96" s="1">
        <v>232</v>
      </c>
      <c r="B96" s="65"/>
      <c r="C96" s="65">
        <v>2.2999999999999998</v>
      </c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>
        <v>0.20699999999999999</v>
      </c>
      <c r="O96" s="65"/>
      <c r="P96" s="65"/>
      <c r="Q96" s="65"/>
      <c r="R96" s="66">
        <f t="shared" si="79"/>
        <v>2.5069999999999997</v>
      </c>
      <c r="S96" s="67"/>
      <c r="T96" s="68">
        <f t="shared" ref="T96:AE96" si="93">C96/$R$96</f>
        <v>0.91743119266055051</v>
      </c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>
        <f t="shared" si="93"/>
        <v>8.2568807339449546E-2</v>
      </c>
      <c r="AF96" s="68"/>
      <c r="AG96" s="68"/>
      <c r="AH96" s="68"/>
      <c r="AI96" s="59">
        <f t="shared" si="81"/>
        <v>1</v>
      </c>
    </row>
    <row r="97" spans="1:35" x14ac:dyDescent="0.3">
      <c r="A97" s="1">
        <v>242</v>
      </c>
      <c r="B97" s="65"/>
      <c r="C97" s="65">
        <v>3.5249999999999999</v>
      </c>
      <c r="D97" s="65"/>
      <c r="E97" s="65"/>
      <c r="F97" s="65">
        <v>0.4</v>
      </c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6">
        <f t="shared" si="79"/>
        <v>3.9249999999999998</v>
      </c>
      <c r="S97" s="67"/>
      <c r="T97" s="68">
        <f t="shared" ref="T97:W97" si="94">C97/$R$97</f>
        <v>0.89808917197452232</v>
      </c>
      <c r="U97" s="68"/>
      <c r="V97" s="68"/>
      <c r="W97" s="68">
        <f t="shared" si="94"/>
        <v>0.10191082802547771</v>
      </c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59">
        <f t="shared" si="81"/>
        <v>1</v>
      </c>
    </row>
    <row r="98" spans="1:35" x14ac:dyDescent="0.3">
      <c r="A98" s="1">
        <v>234</v>
      </c>
      <c r="B98" s="65"/>
      <c r="C98" s="65"/>
      <c r="D98" s="65"/>
      <c r="E98" s="65"/>
      <c r="F98" s="65"/>
      <c r="G98" s="65">
        <v>0.16</v>
      </c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6">
        <f t="shared" si="79"/>
        <v>0.16</v>
      </c>
      <c r="S98" s="67"/>
      <c r="T98" s="68"/>
      <c r="U98" s="68"/>
      <c r="V98" s="68"/>
      <c r="W98" s="68"/>
      <c r="X98" s="68">
        <f t="shared" ref="X98" si="95">G98/$R$98</f>
        <v>1</v>
      </c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59">
        <f t="shared" si="81"/>
        <v>1</v>
      </c>
    </row>
    <row r="99" spans="1:35" x14ac:dyDescent="0.3">
      <c r="A99" s="1">
        <v>218</v>
      </c>
      <c r="B99" s="65"/>
      <c r="C99" s="65"/>
      <c r="D99" s="65"/>
      <c r="E99" s="65"/>
      <c r="F99" s="65">
        <v>2.1999999999999999E-2</v>
      </c>
      <c r="G99" s="65">
        <v>0.24</v>
      </c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6">
        <f t="shared" si="79"/>
        <v>0.26200000000000001</v>
      </c>
      <c r="S99" s="67"/>
      <c r="T99" s="68"/>
      <c r="U99" s="68"/>
      <c r="V99" s="68"/>
      <c r="W99" s="68">
        <f t="shared" ref="W99:X99" si="96">F99/$R$99</f>
        <v>8.3969465648854949E-2</v>
      </c>
      <c r="X99" s="68">
        <f t="shared" si="96"/>
        <v>0.91603053435114501</v>
      </c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59">
        <f t="shared" si="81"/>
        <v>1</v>
      </c>
    </row>
    <row r="100" spans="1:35" x14ac:dyDescent="0.3">
      <c r="A100" s="1">
        <v>229</v>
      </c>
      <c r="B100" s="65"/>
      <c r="C100" s="65"/>
      <c r="D100" s="65"/>
      <c r="E100" s="65"/>
      <c r="F100" s="65"/>
      <c r="G100" s="65">
        <v>3.73</v>
      </c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6">
        <f t="shared" si="79"/>
        <v>3.73</v>
      </c>
      <c r="S100" s="67"/>
      <c r="T100" s="68"/>
      <c r="U100" s="68"/>
      <c r="V100" s="68"/>
      <c r="W100" s="68"/>
      <c r="X100" s="68">
        <f t="shared" ref="X100" si="97">G100/$R$100</f>
        <v>1</v>
      </c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59">
        <f t="shared" si="81"/>
        <v>1</v>
      </c>
    </row>
    <row r="101" spans="1:35" x14ac:dyDescent="0.3">
      <c r="A101" s="1">
        <v>246</v>
      </c>
      <c r="B101" s="65">
        <v>2.9249999999999998</v>
      </c>
      <c r="C101" s="65"/>
      <c r="D101" s="65"/>
      <c r="E101" s="65"/>
      <c r="F101" s="65">
        <v>2.1</v>
      </c>
      <c r="G101" s="65"/>
      <c r="H101" s="65">
        <v>0.10299999999999999</v>
      </c>
      <c r="I101" s="65"/>
      <c r="J101" s="65"/>
      <c r="K101" s="65"/>
      <c r="L101" s="65"/>
      <c r="M101" s="65"/>
      <c r="N101" s="65"/>
      <c r="O101" s="65">
        <v>0.1</v>
      </c>
      <c r="P101" s="65"/>
      <c r="Q101" s="65"/>
      <c r="R101" s="66">
        <f t="shared" si="79"/>
        <v>5.2279999999999998</v>
      </c>
      <c r="S101" s="67">
        <f>B101/$R$101</f>
        <v>0.55948737566947204</v>
      </c>
      <c r="T101" s="68"/>
      <c r="U101" s="68"/>
      <c r="V101" s="68"/>
      <c r="W101" s="68">
        <f t="shared" ref="W101:AF101" si="98">F101/$R$101</f>
        <v>0.40168324407039024</v>
      </c>
      <c r="X101" s="68"/>
      <c r="Y101" s="68">
        <f t="shared" si="98"/>
        <v>1.970160673297628E-2</v>
      </c>
      <c r="Z101" s="68"/>
      <c r="AA101" s="68"/>
      <c r="AB101" s="68"/>
      <c r="AC101" s="68"/>
      <c r="AD101" s="68"/>
      <c r="AE101" s="68"/>
      <c r="AF101" s="68">
        <f t="shared" si="98"/>
        <v>1.912777352716144E-2</v>
      </c>
      <c r="AG101" s="68"/>
      <c r="AH101" s="68"/>
      <c r="AI101" s="59">
        <f t="shared" si="81"/>
        <v>1</v>
      </c>
    </row>
    <row r="102" spans="1:35" x14ac:dyDescent="0.3">
      <c r="A102" s="1">
        <v>253</v>
      </c>
      <c r="B102" s="65"/>
      <c r="C102" s="65"/>
      <c r="D102" s="65">
        <v>1.5680000000000001</v>
      </c>
      <c r="E102" s="65"/>
      <c r="F102" s="65">
        <v>0.5</v>
      </c>
      <c r="G102" s="65">
        <v>0.13</v>
      </c>
      <c r="H102" s="65"/>
      <c r="I102" s="65"/>
      <c r="J102" s="65"/>
      <c r="K102" s="65"/>
      <c r="L102" s="65"/>
      <c r="M102" s="65"/>
      <c r="N102" s="65"/>
      <c r="O102" s="65">
        <v>4.0000000000000001E-3</v>
      </c>
      <c r="P102" s="65"/>
      <c r="Q102" s="65"/>
      <c r="R102" s="66">
        <f t="shared" si="79"/>
        <v>2.202</v>
      </c>
      <c r="S102" s="67"/>
      <c r="T102" s="68"/>
      <c r="U102" s="68">
        <f t="shared" ref="U102:AF102" si="99">D102/$R$102</f>
        <v>0.712079927338783</v>
      </c>
      <c r="V102" s="68"/>
      <c r="W102" s="68">
        <f t="shared" si="99"/>
        <v>0.22706630336058128</v>
      </c>
      <c r="X102" s="68">
        <f t="shared" si="99"/>
        <v>5.903723887375114E-2</v>
      </c>
      <c r="Y102" s="68"/>
      <c r="Z102" s="68"/>
      <c r="AA102" s="68"/>
      <c r="AB102" s="68"/>
      <c r="AC102" s="68"/>
      <c r="AD102" s="68"/>
      <c r="AE102" s="68"/>
      <c r="AF102" s="68">
        <f t="shared" si="99"/>
        <v>1.8165304268846505E-3</v>
      </c>
      <c r="AG102" s="68"/>
      <c r="AH102" s="68"/>
      <c r="AI102" s="59">
        <f t="shared" si="81"/>
        <v>1</v>
      </c>
    </row>
    <row r="103" spans="1:35" x14ac:dyDescent="0.3">
      <c r="A103" s="1">
        <v>243</v>
      </c>
      <c r="B103" s="65"/>
      <c r="C103" s="65"/>
      <c r="D103" s="65"/>
      <c r="E103" s="65"/>
      <c r="F103" s="65">
        <v>0.1</v>
      </c>
      <c r="G103" s="65">
        <v>2.2999999999999998</v>
      </c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6">
        <f t="shared" si="79"/>
        <v>2.4</v>
      </c>
      <c r="S103" s="67"/>
      <c r="T103" s="68"/>
      <c r="U103" s="68"/>
      <c r="V103" s="68"/>
      <c r="W103" s="68">
        <f t="shared" ref="W103:X103" si="100">F103/$R$103</f>
        <v>4.1666666666666671E-2</v>
      </c>
      <c r="X103" s="68">
        <f t="shared" si="100"/>
        <v>0.95833333333333326</v>
      </c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59">
        <f t="shared" si="81"/>
        <v>0.99999999999999989</v>
      </c>
    </row>
    <row r="104" spans="1:35" x14ac:dyDescent="0.3">
      <c r="A104" s="1">
        <v>239</v>
      </c>
      <c r="B104" s="65"/>
      <c r="C104" s="65"/>
      <c r="D104" s="65">
        <v>3.8250000000000002</v>
      </c>
      <c r="E104" s="65"/>
      <c r="F104" s="65">
        <v>0.03</v>
      </c>
      <c r="G104" s="65"/>
      <c r="H104" s="65"/>
      <c r="I104" s="65"/>
      <c r="J104" s="65"/>
      <c r="K104" s="65"/>
      <c r="L104" s="65"/>
      <c r="M104" s="65"/>
      <c r="N104" s="65"/>
      <c r="O104" s="65">
        <v>5.0000000000000001E-3</v>
      </c>
      <c r="P104" s="65"/>
      <c r="Q104" s="65"/>
      <c r="R104" s="66">
        <f t="shared" si="79"/>
        <v>3.86</v>
      </c>
      <c r="S104" s="67"/>
      <c r="T104" s="68"/>
      <c r="U104" s="68">
        <f t="shared" ref="U104:AF104" si="101">D104/$R$104</f>
        <v>0.99093264248704671</v>
      </c>
      <c r="V104" s="68"/>
      <c r="W104" s="68">
        <f t="shared" si="101"/>
        <v>7.7720207253886009E-3</v>
      </c>
      <c r="X104" s="68"/>
      <c r="Y104" s="68"/>
      <c r="Z104" s="68"/>
      <c r="AA104" s="68"/>
      <c r="AB104" s="68"/>
      <c r="AC104" s="68"/>
      <c r="AD104" s="68"/>
      <c r="AE104" s="68"/>
      <c r="AF104" s="68">
        <f t="shared" si="101"/>
        <v>1.2953367875647669E-3</v>
      </c>
      <c r="AG104" s="68"/>
      <c r="AH104" s="68"/>
      <c r="AI104" s="59">
        <f t="shared" si="81"/>
        <v>1</v>
      </c>
    </row>
    <row r="105" spans="1:35" x14ac:dyDescent="0.3">
      <c r="A105" s="1">
        <v>227</v>
      </c>
      <c r="B105" s="65"/>
      <c r="C105" s="65"/>
      <c r="D105" s="65"/>
      <c r="E105" s="65">
        <v>0.7</v>
      </c>
      <c r="F105" s="65">
        <v>2.5000000000000001E-2</v>
      </c>
      <c r="G105" s="65">
        <v>0.75</v>
      </c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6">
        <f t="shared" si="79"/>
        <v>1.4750000000000001</v>
      </c>
      <c r="S105" s="67"/>
      <c r="T105" s="68"/>
      <c r="U105" s="68"/>
      <c r="V105" s="68">
        <f t="shared" ref="V105:X105" si="102">E105/$R$105</f>
        <v>0.47457627118644063</v>
      </c>
      <c r="W105" s="68">
        <f t="shared" si="102"/>
        <v>1.6949152542372881E-2</v>
      </c>
      <c r="X105" s="68">
        <f t="shared" si="102"/>
        <v>0.50847457627118642</v>
      </c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59">
        <f t="shared" si="81"/>
        <v>1</v>
      </c>
    </row>
    <row r="106" spans="1:35" x14ac:dyDescent="0.3">
      <c r="A106" s="1">
        <v>238</v>
      </c>
      <c r="B106" s="65"/>
      <c r="C106" s="65"/>
      <c r="D106" s="65"/>
      <c r="E106" s="65"/>
      <c r="F106" s="65">
        <v>1.7</v>
      </c>
      <c r="G106" s="65">
        <v>0.47499999999999998</v>
      </c>
      <c r="H106" s="65"/>
      <c r="I106" s="65"/>
      <c r="J106" s="65"/>
      <c r="K106" s="65"/>
      <c r="L106" s="65"/>
      <c r="M106" s="65"/>
      <c r="N106" s="65"/>
      <c r="O106" s="65">
        <v>7.4999999999999997E-2</v>
      </c>
      <c r="P106" s="65"/>
      <c r="Q106" s="65"/>
      <c r="R106" s="66">
        <f t="shared" si="79"/>
        <v>2.25</v>
      </c>
      <c r="S106" s="67"/>
      <c r="T106" s="68"/>
      <c r="U106" s="68"/>
      <c r="V106" s="68"/>
      <c r="W106" s="68">
        <f t="shared" ref="W106:AF106" si="103">F106/$R$106</f>
        <v>0.75555555555555554</v>
      </c>
      <c r="X106" s="68">
        <f t="shared" si="103"/>
        <v>0.21111111111111111</v>
      </c>
      <c r="Y106" s="68"/>
      <c r="Z106" s="68"/>
      <c r="AA106" s="68"/>
      <c r="AB106" s="68"/>
      <c r="AC106" s="68"/>
      <c r="AD106" s="68"/>
      <c r="AE106" s="68"/>
      <c r="AF106" s="68">
        <f t="shared" si="103"/>
        <v>3.3333333333333333E-2</v>
      </c>
      <c r="AG106" s="68"/>
      <c r="AH106" s="68"/>
      <c r="AI106" s="59">
        <f t="shared" si="81"/>
        <v>1</v>
      </c>
    </row>
    <row r="107" spans="1:35" x14ac:dyDescent="0.3">
      <c r="A107" s="1">
        <v>236</v>
      </c>
      <c r="B107" s="65"/>
      <c r="C107" s="65"/>
      <c r="D107" s="65"/>
      <c r="E107" s="65"/>
      <c r="F107" s="65"/>
      <c r="G107" s="65">
        <v>1.625</v>
      </c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6">
        <f t="shared" si="79"/>
        <v>1.625</v>
      </c>
      <c r="S107" s="67"/>
      <c r="T107" s="68"/>
      <c r="U107" s="68"/>
      <c r="V107" s="68"/>
      <c r="W107" s="68"/>
      <c r="X107" s="68">
        <f t="shared" ref="X107" si="104">G107/$R$107</f>
        <v>1</v>
      </c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59">
        <f t="shared" si="81"/>
        <v>1</v>
      </c>
    </row>
    <row r="108" spans="1:35" x14ac:dyDescent="0.3">
      <c r="A108" s="1">
        <v>235</v>
      </c>
      <c r="B108" s="65"/>
      <c r="C108" s="65"/>
      <c r="D108" s="65"/>
      <c r="E108" s="65"/>
      <c r="F108" s="65">
        <v>0.1</v>
      </c>
      <c r="G108" s="65">
        <v>3.85</v>
      </c>
      <c r="H108" s="65"/>
      <c r="I108" s="65"/>
      <c r="J108" s="65"/>
      <c r="K108" s="65"/>
      <c r="L108" s="65"/>
      <c r="M108" s="65"/>
      <c r="N108" s="65"/>
      <c r="O108" s="65">
        <v>2.5000000000000001E-2</v>
      </c>
      <c r="P108" s="65"/>
      <c r="Q108" s="65"/>
      <c r="R108" s="66">
        <f t="shared" si="79"/>
        <v>3.9750000000000001</v>
      </c>
      <c r="S108" s="67"/>
      <c r="T108" s="68"/>
      <c r="U108" s="68"/>
      <c r="V108" s="68"/>
      <c r="W108" s="68">
        <f t="shared" ref="W108:AF108" si="105">F108/$R$108</f>
        <v>2.5157232704402517E-2</v>
      </c>
      <c r="X108" s="68">
        <f t="shared" si="105"/>
        <v>0.96855345911949686</v>
      </c>
      <c r="Y108" s="68"/>
      <c r="Z108" s="68"/>
      <c r="AA108" s="68"/>
      <c r="AB108" s="68"/>
      <c r="AC108" s="68"/>
      <c r="AD108" s="68"/>
      <c r="AE108" s="68"/>
      <c r="AF108" s="68">
        <f t="shared" si="105"/>
        <v>6.2893081761006293E-3</v>
      </c>
      <c r="AG108" s="68"/>
      <c r="AH108" s="68"/>
      <c r="AI108" s="59">
        <f t="shared" si="81"/>
        <v>1</v>
      </c>
    </row>
    <row r="109" spans="1:35" x14ac:dyDescent="0.3">
      <c r="A109" s="1">
        <v>225</v>
      </c>
      <c r="B109" s="65"/>
      <c r="C109" s="65"/>
      <c r="D109" s="65"/>
      <c r="E109" s="65"/>
      <c r="F109" s="65">
        <v>1.2</v>
      </c>
      <c r="G109" s="65">
        <v>6.25</v>
      </c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6">
        <f t="shared" si="79"/>
        <v>7.45</v>
      </c>
      <c r="S109" s="67"/>
      <c r="T109" s="68"/>
      <c r="U109" s="68"/>
      <c r="V109" s="68"/>
      <c r="W109" s="68">
        <f t="shared" ref="W109:X109" si="106">F109/$R$109</f>
        <v>0.16107382550335569</v>
      </c>
      <c r="X109" s="68">
        <f t="shared" si="106"/>
        <v>0.83892617449664431</v>
      </c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59">
        <f t="shared" si="81"/>
        <v>1</v>
      </c>
    </row>
    <row r="110" spans="1:35" x14ac:dyDescent="0.3">
      <c r="A110" s="1">
        <v>240</v>
      </c>
      <c r="B110" s="65"/>
      <c r="C110" s="65"/>
      <c r="D110" s="65">
        <v>0.22</v>
      </c>
      <c r="E110" s="65"/>
      <c r="F110" s="65">
        <v>0.05</v>
      </c>
      <c r="G110" s="65">
        <v>5.1630000000000003</v>
      </c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6">
        <f t="shared" si="79"/>
        <v>5.4329999999999998</v>
      </c>
      <c r="S110" s="67"/>
      <c r="T110" s="68"/>
      <c r="U110" s="68">
        <f t="shared" ref="U110:X110" si="107">D110/$R$110</f>
        <v>4.0493281796429227E-2</v>
      </c>
      <c r="V110" s="68"/>
      <c r="W110" s="68">
        <f t="shared" si="107"/>
        <v>9.2030185900975527E-3</v>
      </c>
      <c r="X110" s="68">
        <f t="shared" si="107"/>
        <v>0.95030369961347327</v>
      </c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59">
        <f t="shared" si="81"/>
        <v>1</v>
      </c>
    </row>
    <row r="111" spans="1:35" x14ac:dyDescent="0.3">
      <c r="A111" s="1">
        <v>250</v>
      </c>
      <c r="B111" s="65"/>
      <c r="C111" s="65"/>
      <c r="D111" s="65"/>
      <c r="E111" s="65"/>
      <c r="F111" s="65">
        <v>0.05</v>
      </c>
      <c r="G111" s="65">
        <v>7.5</v>
      </c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6">
        <f t="shared" si="79"/>
        <v>7.55</v>
      </c>
      <c r="S111" s="67"/>
      <c r="T111" s="68"/>
      <c r="U111" s="68"/>
      <c r="V111" s="68"/>
      <c r="W111" s="68">
        <f t="shared" ref="W111:X111" si="108">F111/$R$111</f>
        <v>6.6225165562913916E-3</v>
      </c>
      <c r="X111" s="68">
        <f t="shared" si="108"/>
        <v>0.99337748344370869</v>
      </c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59">
        <f t="shared" si="81"/>
        <v>1</v>
      </c>
    </row>
    <row r="112" spans="1:35" x14ac:dyDescent="0.3">
      <c r="A112" s="1">
        <v>221</v>
      </c>
      <c r="B112" s="65"/>
      <c r="C112" s="65">
        <v>3.8530000000000002</v>
      </c>
      <c r="D112" s="65"/>
      <c r="E112" s="65"/>
      <c r="F112" s="65">
        <v>4.7E-2</v>
      </c>
      <c r="G112" s="65"/>
      <c r="H112" s="65"/>
      <c r="I112" s="65"/>
      <c r="J112" s="65"/>
      <c r="K112" s="65">
        <v>4.0000000000000001E-3</v>
      </c>
      <c r="L112" s="65"/>
      <c r="M112" s="65"/>
      <c r="N112" s="65"/>
      <c r="O112" s="65"/>
      <c r="P112" s="65"/>
      <c r="Q112" s="65"/>
      <c r="R112" s="66">
        <f t="shared" si="79"/>
        <v>3.9040000000000004</v>
      </c>
      <c r="S112" s="67"/>
      <c r="T112" s="68">
        <f t="shared" ref="T112:AB112" si="109">C112/$R$112</f>
        <v>0.98693647540983598</v>
      </c>
      <c r="U112" s="68"/>
      <c r="V112" s="68"/>
      <c r="W112" s="68">
        <f t="shared" si="109"/>
        <v>1.2038934426229508E-2</v>
      </c>
      <c r="X112" s="68"/>
      <c r="Y112" s="68"/>
      <c r="Z112" s="68"/>
      <c r="AA112" s="68"/>
      <c r="AB112" s="68">
        <f t="shared" si="109"/>
        <v>1.0245901639344261E-3</v>
      </c>
      <c r="AC112" s="68"/>
      <c r="AD112" s="68"/>
      <c r="AE112" s="68"/>
      <c r="AF112" s="68"/>
      <c r="AG112" s="68"/>
      <c r="AH112" s="68"/>
      <c r="AI112" s="59">
        <f t="shared" si="81"/>
        <v>0.99999999999999989</v>
      </c>
    </row>
    <row r="113" spans="1:35" x14ac:dyDescent="0.3">
      <c r="A113" s="1">
        <v>220</v>
      </c>
      <c r="B113" s="65"/>
      <c r="C113" s="65">
        <v>3.7250000000000001</v>
      </c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6">
        <f t="shared" si="79"/>
        <v>3.7250000000000001</v>
      </c>
      <c r="S113" s="67"/>
      <c r="T113" s="68">
        <f t="shared" ref="T113" si="110">C113/$R$113</f>
        <v>1</v>
      </c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59">
        <f t="shared" si="81"/>
        <v>1</v>
      </c>
    </row>
    <row r="114" spans="1:35" x14ac:dyDescent="0.3">
      <c r="A114" s="1">
        <v>247</v>
      </c>
      <c r="B114" s="65"/>
      <c r="C114" s="65"/>
      <c r="D114" s="65"/>
      <c r="E114" s="65"/>
      <c r="F114" s="65">
        <v>4.1000000000000002E-2</v>
      </c>
      <c r="G114" s="65">
        <v>1.62</v>
      </c>
      <c r="H114" s="65"/>
      <c r="I114" s="65"/>
      <c r="J114" s="65"/>
      <c r="K114" s="65"/>
      <c r="L114" s="65"/>
      <c r="M114" s="65">
        <v>2E-3</v>
      </c>
      <c r="N114" s="65"/>
      <c r="O114" s="65"/>
      <c r="P114" s="65"/>
      <c r="Q114" s="65"/>
      <c r="R114" s="66">
        <f t="shared" si="79"/>
        <v>1.663</v>
      </c>
      <c r="S114" s="67"/>
      <c r="T114" s="68"/>
      <c r="U114" s="68"/>
      <c r="V114" s="68"/>
      <c r="W114" s="68">
        <f t="shared" ref="W114:AD114" si="111">F114/$R$114</f>
        <v>2.4654239326518342E-2</v>
      </c>
      <c r="X114" s="68">
        <f t="shared" si="111"/>
        <v>0.97414311485267591</v>
      </c>
      <c r="Y114" s="68"/>
      <c r="Z114" s="68"/>
      <c r="AA114" s="68"/>
      <c r="AB114" s="68"/>
      <c r="AC114" s="68"/>
      <c r="AD114" s="68">
        <f t="shared" si="111"/>
        <v>1.2026458208057728E-3</v>
      </c>
      <c r="AE114" s="68"/>
      <c r="AF114" s="68"/>
      <c r="AG114" s="68"/>
      <c r="AH114" s="68"/>
      <c r="AI114" s="59">
        <f t="shared" si="81"/>
        <v>1</v>
      </c>
    </row>
    <row r="115" spans="1:35" x14ac:dyDescent="0.3">
      <c r="A115" s="1">
        <v>224</v>
      </c>
      <c r="B115" s="65"/>
      <c r="C115" s="65"/>
      <c r="D115" s="65"/>
      <c r="E115" s="65"/>
      <c r="F115" s="65">
        <v>2.5000000000000001E-2</v>
      </c>
      <c r="G115" s="65">
        <v>2.4079999999999999</v>
      </c>
      <c r="H115" s="65"/>
      <c r="I115" s="65"/>
      <c r="J115" s="65"/>
      <c r="K115" s="65"/>
      <c r="L115" s="65"/>
      <c r="M115" s="65"/>
      <c r="N115" s="65"/>
      <c r="O115" s="65">
        <v>2E-3</v>
      </c>
      <c r="P115" s="65"/>
      <c r="Q115" s="65"/>
      <c r="R115" s="66">
        <f t="shared" si="79"/>
        <v>2.4349999999999996</v>
      </c>
      <c r="S115" s="67"/>
      <c r="T115" s="68"/>
      <c r="U115" s="68"/>
      <c r="V115" s="68"/>
      <c r="W115" s="68">
        <f t="shared" ref="W115:X115" si="112">F115/$R$115</f>
        <v>1.0266940451745383E-2</v>
      </c>
      <c r="X115" s="68">
        <f t="shared" si="112"/>
        <v>0.98891170431211517</v>
      </c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59">
        <f t="shared" si="81"/>
        <v>0.99917864476386054</v>
      </c>
    </row>
    <row r="116" spans="1:35" x14ac:dyDescent="0.3">
      <c r="A116" s="1">
        <v>222</v>
      </c>
      <c r="B116" s="65"/>
      <c r="C116" s="65"/>
      <c r="D116" s="65"/>
      <c r="E116" s="65"/>
      <c r="F116" s="65">
        <v>0.03</v>
      </c>
      <c r="G116" s="65">
        <v>3.823</v>
      </c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6">
        <f t="shared" si="79"/>
        <v>3.8529999999999998</v>
      </c>
      <c r="S116" s="67"/>
      <c r="T116" s="68"/>
      <c r="U116" s="68"/>
      <c r="V116" s="68"/>
      <c r="W116" s="68">
        <f t="shared" ref="W116:X116" si="113">F116/$R$116</f>
        <v>7.7861406696080977E-3</v>
      </c>
      <c r="X116" s="68">
        <f t="shared" si="113"/>
        <v>0.99221385933039197</v>
      </c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59">
        <f t="shared" si="81"/>
        <v>1</v>
      </c>
    </row>
    <row r="117" spans="1:35" x14ac:dyDescent="0.3">
      <c r="A117" s="1">
        <v>136</v>
      </c>
      <c r="B117" s="65">
        <v>0.42499999999999999</v>
      </c>
      <c r="C117" s="65"/>
      <c r="D117" s="65"/>
      <c r="E117" s="65"/>
      <c r="F117" s="65">
        <v>2.9510000000000001</v>
      </c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6">
        <f t="shared" si="79"/>
        <v>3.3759999999999999</v>
      </c>
      <c r="S117" s="67">
        <f>B117/$R$117</f>
        <v>0.12588862559241706</v>
      </c>
      <c r="T117" s="68"/>
      <c r="U117" s="68"/>
      <c r="V117" s="68"/>
      <c r="W117" s="68">
        <f t="shared" ref="W117" si="114">F117/$R$117</f>
        <v>0.87411137440758302</v>
      </c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59">
        <f t="shared" si="81"/>
        <v>1</v>
      </c>
    </row>
    <row r="118" spans="1:35" x14ac:dyDescent="0.3">
      <c r="A118" s="1">
        <v>213</v>
      </c>
      <c r="B118" s="65"/>
      <c r="C118" s="65"/>
      <c r="D118" s="65">
        <v>4.423</v>
      </c>
      <c r="E118" s="65"/>
      <c r="F118" s="65">
        <v>4.5999999999999999E-2</v>
      </c>
      <c r="G118" s="65">
        <v>0.80200000000000005</v>
      </c>
      <c r="H118" s="65"/>
      <c r="I118" s="65"/>
      <c r="J118" s="65"/>
      <c r="K118" s="65"/>
      <c r="L118" s="65">
        <v>0.125</v>
      </c>
      <c r="M118" s="65"/>
      <c r="N118" s="65"/>
      <c r="O118" s="65"/>
      <c r="P118" s="65"/>
      <c r="Q118" s="65"/>
      <c r="R118" s="66">
        <f t="shared" si="79"/>
        <v>5.3960000000000008</v>
      </c>
      <c r="S118" s="67"/>
      <c r="T118" s="68"/>
      <c r="U118" s="68">
        <f t="shared" ref="U118:AC118" si="115">D118/$R$118</f>
        <v>0.81968124536693832</v>
      </c>
      <c r="V118" s="68"/>
      <c r="W118" s="68">
        <f t="shared" si="115"/>
        <v>8.5248332097850252E-3</v>
      </c>
      <c r="X118" s="68">
        <f t="shared" si="115"/>
        <v>0.14862861378799108</v>
      </c>
      <c r="Y118" s="68"/>
      <c r="Z118" s="68"/>
      <c r="AA118" s="68"/>
      <c r="AB118" s="68"/>
      <c r="AC118" s="68">
        <f t="shared" si="115"/>
        <v>2.3165307635285393E-2</v>
      </c>
      <c r="AD118" s="68"/>
      <c r="AE118" s="68"/>
      <c r="AF118" s="68"/>
      <c r="AG118" s="68"/>
      <c r="AH118" s="68"/>
      <c r="AI118" s="59">
        <f t="shared" si="81"/>
        <v>0.99999999999999978</v>
      </c>
    </row>
    <row r="119" spans="1:35" x14ac:dyDescent="0.3">
      <c r="A119" s="1">
        <v>212</v>
      </c>
      <c r="B119" s="65"/>
      <c r="C119" s="65"/>
      <c r="D119" s="65"/>
      <c r="E119" s="65">
        <v>1.25</v>
      </c>
      <c r="F119" s="65"/>
      <c r="G119" s="65">
        <v>0.127</v>
      </c>
      <c r="H119" s="65">
        <v>3.0000000000000001E-3</v>
      </c>
      <c r="I119" s="65"/>
      <c r="J119" s="65"/>
      <c r="K119" s="65"/>
      <c r="L119" s="65"/>
      <c r="M119" s="65"/>
      <c r="N119" s="65"/>
      <c r="O119" s="65"/>
      <c r="P119" s="65"/>
      <c r="Q119" s="65"/>
      <c r="R119" s="66">
        <f t="shared" si="79"/>
        <v>1.38</v>
      </c>
      <c r="S119" s="67"/>
      <c r="T119" s="68"/>
      <c r="U119" s="68"/>
      <c r="V119" s="68">
        <f t="shared" ref="V119:Y119" si="116">E119/$R$119</f>
        <v>0.90579710144927539</v>
      </c>
      <c r="W119" s="68"/>
      <c r="X119" s="68">
        <f t="shared" si="116"/>
        <v>9.2028985507246391E-2</v>
      </c>
      <c r="Y119" s="68">
        <f t="shared" si="116"/>
        <v>2.1739130434782609E-3</v>
      </c>
      <c r="Z119" s="68"/>
      <c r="AA119" s="68"/>
      <c r="AB119" s="68"/>
      <c r="AC119" s="68"/>
      <c r="AD119" s="68"/>
      <c r="AE119" s="68"/>
      <c r="AF119" s="68"/>
      <c r="AG119" s="68"/>
      <c r="AH119" s="68"/>
      <c r="AI119" s="59">
        <f t="shared" si="81"/>
        <v>1</v>
      </c>
    </row>
    <row r="120" spans="1:35" x14ac:dyDescent="0.3">
      <c r="A120" s="1">
        <v>209</v>
      </c>
      <c r="B120" s="65"/>
      <c r="C120" s="65"/>
      <c r="D120" s="65"/>
      <c r="E120" s="65"/>
      <c r="F120" s="65"/>
      <c r="G120" s="65">
        <v>1.27</v>
      </c>
      <c r="H120" s="65"/>
      <c r="I120" s="65"/>
      <c r="J120" s="65"/>
      <c r="K120" s="65"/>
      <c r="L120" s="65"/>
      <c r="M120" s="65"/>
      <c r="N120" s="65"/>
      <c r="O120" s="65">
        <v>5.0000000000000001E-3</v>
      </c>
      <c r="P120" s="65"/>
      <c r="Q120" s="65"/>
      <c r="R120" s="66">
        <f t="shared" si="79"/>
        <v>1.2749999999999999</v>
      </c>
      <c r="S120" s="67"/>
      <c r="T120" s="68"/>
      <c r="U120" s="68"/>
      <c r="V120" s="68"/>
      <c r="W120" s="68"/>
      <c r="X120" s="68">
        <f t="shared" ref="X120:AF120" si="117">G120/$R$120</f>
        <v>0.99607843137254914</v>
      </c>
      <c r="Y120" s="68"/>
      <c r="Z120" s="68"/>
      <c r="AA120" s="68"/>
      <c r="AB120" s="68"/>
      <c r="AC120" s="68"/>
      <c r="AD120" s="68"/>
      <c r="AE120" s="68"/>
      <c r="AF120" s="68">
        <f t="shared" si="117"/>
        <v>3.9215686274509803E-3</v>
      </c>
      <c r="AG120" s="68"/>
      <c r="AH120" s="68"/>
      <c r="AI120" s="59">
        <f t="shared" si="81"/>
        <v>1.0000000000000002</v>
      </c>
    </row>
    <row r="121" spans="1:35" x14ac:dyDescent="0.3">
      <c r="A121" s="1">
        <v>45</v>
      </c>
      <c r="B121" s="65"/>
      <c r="C121" s="65"/>
      <c r="D121" s="65">
        <v>1.83</v>
      </c>
      <c r="E121" s="65"/>
      <c r="F121" s="65">
        <v>5.0000000000000001E-3</v>
      </c>
      <c r="G121" s="65"/>
      <c r="H121" s="65"/>
      <c r="I121" s="65"/>
      <c r="J121" s="65"/>
      <c r="K121" s="65"/>
      <c r="L121" s="65"/>
      <c r="M121" s="65"/>
      <c r="N121" s="65">
        <v>7.0000000000000001E-3</v>
      </c>
      <c r="O121" s="65"/>
      <c r="P121" s="65"/>
      <c r="Q121" s="65"/>
      <c r="R121" s="66">
        <f t="shared" si="79"/>
        <v>1.8419999999999999</v>
      </c>
      <c r="S121" s="67"/>
      <c r="T121" s="68"/>
      <c r="U121" s="68">
        <f t="shared" ref="U121:AE121" si="118">D121/$R$121</f>
        <v>0.99348534201954408</v>
      </c>
      <c r="V121" s="68"/>
      <c r="W121" s="68">
        <f t="shared" si="118"/>
        <v>2.7144408251900112E-3</v>
      </c>
      <c r="X121" s="68"/>
      <c r="Y121" s="68"/>
      <c r="Z121" s="68"/>
      <c r="AA121" s="68"/>
      <c r="AB121" s="68"/>
      <c r="AC121" s="68"/>
      <c r="AD121" s="68"/>
      <c r="AE121" s="68">
        <f t="shared" si="118"/>
        <v>3.8002171552660156E-3</v>
      </c>
      <c r="AF121" s="68"/>
      <c r="AG121" s="68"/>
      <c r="AH121" s="68"/>
      <c r="AI121" s="59">
        <f t="shared" si="81"/>
        <v>1</v>
      </c>
    </row>
    <row r="122" spans="1:35" x14ac:dyDescent="0.3">
      <c r="A122" s="1">
        <v>219</v>
      </c>
      <c r="B122" s="65"/>
      <c r="C122" s="65"/>
      <c r="D122" s="65"/>
      <c r="E122" s="65"/>
      <c r="F122" s="65"/>
      <c r="G122" s="65">
        <v>0.25</v>
      </c>
      <c r="H122" s="65"/>
      <c r="I122" s="65">
        <v>3</v>
      </c>
      <c r="J122" s="65"/>
      <c r="K122" s="65"/>
      <c r="L122" s="65"/>
      <c r="M122" s="65"/>
      <c r="N122" s="65"/>
      <c r="O122" s="65"/>
      <c r="P122" s="65"/>
      <c r="Q122" s="65"/>
      <c r="R122" s="66">
        <f t="shared" si="79"/>
        <v>3.25</v>
      </c>
      <c r="S122" s="67"/>
      <c r="T122" s="68"/>
      <c r="U122" s="68"/>
      <c r="V122" s="68"/>
      <c r="W122" s="68"/>
      <c r="X122" s="68">
        <f t="shared" ref="X122:Z122" si="119">G122/$R$122</f>
        <v>7.6923076923076927E-2</v>
      </c>
      <c r="Y122" s="68"/>
      <c r="Z122" s="68">
        <f t="shared" si="119"/>
        <v>0.92307692307692313</v>
      </c>
      <c r="AA122" s="68"/>
      <c r="AB122" s="68"/>
      <c r="AC122" s="68"/>
      <c r="AD122" s="68"/>
      <c r="AE122" s="68"/>
      <c r="AF122" s="68"/>
      <c r="AG122" s="68"/>
      <c r="AH122" s="68"/>
      <c r="AI122" s="59">
        <f t="shared" si="81"/>
        <v>1</v>
      </c>
    </row>
    <row r="123" spans="1:35" x14ac:dyDescent="0.3">
      <c r="A123" s="1">
        <v>53</v>
      </c>
      <c r="B123" s="65"/>
      <c r="C123" s="65"/>
      <c r="D123" s="65"/>
      <c r="E123" s="65"/>
      <c r="F123" s="65">
        <v>2</v>
      </c>
      <c r="G123" s="65">
        <v>2.218</v>
      </c>
      <c r="H123" s="65"/>
      <c r="I123" s="65"/>
      <c r="J123" s="65"/>
      <c r="K123" s="65"/>
      <c r="L123" s="65"/>
      <c r="M123" s="65">
        <v>8.9999999999999993E-3</v>
      </c>
      <c r="N123" s="65"/>
      <c r="O123" s="65"/>
      <c r="P123" s="65"/>
      <c r="Q123" s="65"/>
      <c r="R123" s="66">
        <f t="shared" si="79"/>
        <v>4.2270000000000003</v>
      </c>
      <c r="S123" s="67"/>
      <c r="T123" s="68"/>
      <c r="U123" s="68"/>
      <c r="V123" s="68"/>
      <c r="W123" s="68">
        <f t="shared" ref="W123:AD123" si="120">F123/$R$123</f>
        <v>0.47314880529926656</v>
      </c>
      <c r="X123" s="68">
        <f t="shared" si="120"/>
        <v>0.52472202507688659</v>
      </c>
      <c r="Y123" s="68"/>
      <c r="Z123" s="68"/>
      <c r="AA123" s="68"/>
      <c r="AB123" s="68"/>
      <c r="AC123" s="68"/>
      <c r="AD123" s="68">
        <f t="shared" si="120"/>
        <v>2.1291696238466993E-3</v>
      </c>
      <c r="AE123" s="68"/>
      <c r="AF123" s="68"/>
      <c r="AG123" s="68"/>
      <c r="AH123" s="68"/>
      <c r="AI123" s="59">
        <f t="shared" si="81"/>
        <v>0.99999999999999989</v>
      </c>
    </row>
    <row r="124" spans="1:35" x14ac:dyDescent="0.3">
      <c r="A124" s="1">
        <v>241</v>
      </c>
      <c r="B124" s="65"/>
      <c r="C124" s="65"/>
      <c r="D124" s="65"/>
      <c r="E124" s="65">
        <v>3.0550000000000002</v>
      </c>
      <c r="F124" s="65"/>
      <c r="G124" s="65">
        <v>1.125</v>
      </c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6">
        <f t="shared" si="79"/>
        <v>4.18</v>
      </c>
      <c r="S124" s="67"/>
      <c r="T124" s="68"/>
      <c r="U124" s="68"/>
      <c r="V124" s="68">
        <f t="shared" ref="V124:X124" si="121">E124/$R$124</f>
        <v>0.73086124401913888</v>
      </c>
      <c r="W124" s="68"/>
      <c r="X124" s="68">
        <f t="shared" si="121"/>
        <v>0.26913875598086129</v>
      </c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59">
        <f t="shared" si="81"/>
        <v>1.0000000000000002</v>
      </c>
    </row>
    <row r="125" spans="1:35" x14ac:dyDescent="0.3">
      <c r="A125" s="1">
        <v>135</v>
      </c>
      <c r="B125" s="65"/>
      <c r="C125" s="65"/>
      <c r="D125" s="65"/>
      <c r="E125" s="65"/>
      <c r="F125" s="65"/>
      <c r="G125" s="65">
        <v>1.01</v>
      </c>
      <c r="H125" s="65"/>
      <c r="I125" s="65">
        <v>2.2999999999999998</v>
      </c>
      <c r="J125" s="65"/>
      <c r="K125" s="65"/>
      <c r="L125" s="65"/>
      <c r="M125" s="65"/>
      <c r="N125" s="65"/>
      <c r="O125" s="65"/>
      <c r="P125" s="65"/>
      <c r="Q125" s="65"/>
      <c r="R125" s="66">
        <f t="shared" si="79"/>
        <v>3.3099999999999996</v>
      </c>
      <c r="S125" s="67"/>
      <c r="T125" s="68"/>
      <c r="U125" s="68"/>
      <c r="V125" s="68"/>
      <c r="W125" s="68"/>
      <c r="X125" s="68">
        <f t="shared" ref="X125:Z125" si="122">G125/$R$125</f>
        <v>0.30513595166163143</v>
      </c>
      <c r="Y125" s="68"/>
      <c r="Z125" s="68">
        <f t="shared" si="122"/>
        <v>0.69486404833836857</v>
      </c>
      <c r="AA125" s="68"/>
      <c r="AB125" s="68"/>
      <c r="AC125" s="68"/>
      <c r="AD125" s="68"/>
      <c r="AE125" s="68"/>
      <c r="AF125" s="68"/>
      <c r="AG125" s="68"/>
      <c r="AH125" s="68"/>
      <c r="AI125" s="59">
        <f t="shared" si="81"/>
        <v>1</v>
      </c>
    </row>
    <row r="126" spans="1:35" x14ac:dyDescent="0.3">
      <c r="A126" s="1">
        <v>137</v>
      </c>
      <c r="B126" s="65"/>
      <c r="C126" s="65"/>
      <c r="D126" s="65"/>
      <c r="E126" s="65">
        <v>2.7</v>
      </c>
      <c r="F126" s="65"/>
      <c r="G126" s="65">
        <v>0.85</v>
      </c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6">
        <f t="shared" si="79"/>
        <v>3.5500000000000003</v>
      </c>
      <c r="S126" s="67"/>
      <c r="T126" s="68"/>
      <c r="U126" s="68"/>
      <c r="V126" s="68">
        <f t="shared" ref="V126:X126" si="123">E126/$R$126</f>
        <v>0.76056338028169013</v>
      </c>
      <c r="W126" s="68"/>
      <c r="X126" s="68">
        <f t="shared" si="123"/>
        <v>0.23943661971830985</v>
      </c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59">
        <f t="shared" si="81"/>
        <v>1</v>
      </c>
    </row>
    <row r="127" spans="1:35" x14ac:dyDescent="0.3">
      <c r="A127" s="1">
        <v>55</v>
      </c>
      <c r="B127" s="65"/>
      <c r="C127" s="65">
        <v>0.80600000000000005</v>
      </c>
      <c r="D127" s="65"/>
      <c r="E127" s="65"/>
      <c r="F127" s="65">
        <v>0.03</v>
      </c>
      <c r="G127" s="65">
        <v>0.52500000000000002</v>
      </c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6">
        <f t="shared" si="79"/>
        <v>1.3610000000000002</v>
      </c>
      <c r="S127" s="67"/>
      <c r="T127" s="68">
        <f t="shared" ref="T127:X127" si="124">C127/$R$127</f>
        <v>0.59221160911094772</v>
      </c>
      <c r="U127" s="68"/>
      <c r="V127" s="68"/>
      <c r="W127" s="68">
        <f t="shared" si="124"/>
        <v>2.2042615723732544E-2</v>
      </c>
      <c r="X127" s="68">
        <f t="shared" si="124"/>
        <v>0.38574577516531955</v>
      </c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59">
        <f t="shared" si="81"/>
        <v>0.99999999999999978</v>
      </c>
    </row>
    <row r="128" spans="1:35" x14ac:dyDescent="0.3">
      <c r="A128" s="1" t="s">
        <v>66</v>
      </c>
      <c r="B128" s="65">
        <v>1</v>
      </c>
      <c r="C128" s="65"/>
      <c r="D128" s="65"/>
      <c r="E128" s="65"/>
      <c r="F128" s="65">
        <v>1.5</v>
      </c>
      <c r="G128" s="65"/>
      <c r="H128" s="65"/>
      <c r="I128" s="65"/>
      <c r="J128" s="65"/>
      <c r="K128" s="65"/>
      <c r="L128" s="65"/>
      <c r="M128" s="65"/>
      <c r="N128" s="65"/>
      <c r="O128" s="65">
        <v>5.0000000000000001E-3</v>
      </c>
      <c r="P128" s="65"/>
      <c r="Q128" s="65"/>
      <c r="R128" s="66">
        <f t="shared" si="79"/>
        <v>2.5049999999999999</v>
      </c>
      <c r="S128" s="67">
        <f>B128/$R$128</f>
        <v>0.39920159680638723</v>
      </c>
      <c r="T128" s="68"/>
      <c r="U128" s="68"/>
      <c r="V128" s="68"/>
      <c r="W128" s="68">
        <f t="shared" ref="W128:AF128" si="125">F128/$R$128</f>
        <v>0.5988023952095809</v>
      </c>
      <c r="X128" s="68"/>
      <c r="Y128" s="68"/>
      <c r="Z128" s="68"/>
      <c r="AA128" s="68"/>
      <c r="AB128" s="68"/>
      <c r="AC128" s="68"/>
      <c r="AD128" s="68"/>
      <c r="AE128" s="68"/>
      <c r="AF128" s="68">
        <f t="shared" si="125"/>
        <v>1.9960079840319364E-3</v>
      </c>
      <c r="AG128" s="68"/>
      <c r="AH128" s="68"/>
      <c r="AI128" s="59">
        <f t="shared" si="81"/>
        <v>1</v>
      </c>
    </row>
    <row r="129" spans="1:35" x14ac:dyDescent="0.3">
      <c r="A129" s="1">
        <v>237</v>
      </c>
      <c r="B129" s="65"/>
      <c r="C129" s="65"/>
      <c r="D129" s="65"/>
      <c r="E129" s="65"/>
      <c r="F129" s="65"/>
      <c r="G129" s="65">
        <v>3.7250000000000001</v>
      </c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6">
        <f t="shared" si="79"/>
        <v>3.7250000000000001</v>
      </c>
      <c r="S129" s="67"/>
      <c r="T129" s="68"/>
      <c r="U129" s="68"/>
      <c r="V129" s="68"/>
      <c r="W129" s="68"/>
      <c r="X129" s="68">
        <f t="shared" ref="X129" si="126">G129/$R$129</f>
        <v>1</v>
      </c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59">
        <f t="shared" si="81"/>
        <v>1</v>
      </c>
    </row>
    <row r="130" spans="1:35" x14ac:dyDescent="0.3">
      <c r="A130" s="1">
        <v>231</v>
      </c>
      <c r="B130" s="65"/>
      <c r="C130" s="65"/>
      <c r="D130" s="65"/>
      <c r="E130" s="65">
        <v>4.8949999999999996</v>
      </c>
      <c r="F130" s="65">
        <v>0.05</v>
      </c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6">
        <f t="shared" si="79"/>
        <v>4.9449999999999994</v>
      </c>
      <c r="S130" s="67"/>
      <c r="T130" s="68"/>
      <c r="U130" s="68"/>
      <c r="V130" s="68">
        <f t="shared" ref="V130:W130" si="127">E130/$R$130</f>
        <v>0.98988877654196161</v>
      </c>
      <c r="W130" s="68">
        <f t="shared" si="127"/>
        <v>1.0111223458038424E-2</v>
      </c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59">
        <f t="shared" si="81"/>
        <v>1</v>
      </c>
    </row>
    <row r="131" spans="1:35" x14ac:dyDescent="0.3">
      <c r="A131" s="1">
        <v>245</v>
      </c>
      <c r="B131" s="65"/>
      <c r="C131" s="65"/>
      <c r="D131" s="65"/>
      <c r="E131" s="65">
        <v>2.0510000000000002</v>
      </c>
      <c r="F131" s="65">
        <v>7.2999999999999995E-2</v>
      </c>
      <c r="G131" s="65">
        <v>1.125</v>
      </c>
      <c r="H131" s="65"/>
      <c r="I131" s="65"/>
      <c r="J131" s="65"/>
      <c r="K131" s="65"/>
      <c r="L131" s="65"/>
      <c r="M131" s="65"/>
      <c r="N131" s="65"/>
      <c r="O131" s="65">
        <v>2E-3</v>
      </c>
      <c r="P131" s="65"/>
      <c r="Q131" s="65"/>
      <c r="R131" s="66">
        <f t="shared" si="79"/>
        <v>3.2509999999999999</v>
      </c>
      <c r="S131" s="67"/>
      <c r="T131" s="68"/>
      <c r="U131" s="68"/>
      <c r="V131" s="68">
        <f t="shared" ref="V131:AF131" si="128">E131/$R$131</f>
        <v>0.63088280529067986</v>
      </c>
      <c r="W131" s="68">
        <f t="shared" si="128"/>
        <v>2.2454629344816977E-2</v>
      </c>
      <c r="X131" s="68">
        <f t="shared" si="128"/>
        <v>0.3460473700399877</v>
      </c>
      <c r="Y131" s="68"/>
      <c r="Z131" s="68"/>
      <c r="AA131" s="68"/>
      <c r="AB131" s="68"/>
      <c r="AC131" s="68"/>
      <c r="AD131" s="68"/>
      <c r="AE131" s="68"/>
      <c r="AF131" s="68">
        <f t="shared" si="128"/>
        <v>6.1519532451553372E-4</v>
      </c>
      <c r="AG131" s="68"/>
      <c r="AH131" s="68"/>
      <c r="AI131" s="59">
        <f t="shared" si="81"/>
        <v>1</v>
      </c>
    </row>
    <row r="132" spans="1:35" x14ac:dyDescent="0.3">
      <c r="A132" s="1">
        <v>223</v>
      </c>
      <c r="B132" s="65"/>
      <c r="C132" s="65"/>
      <c r="D132" s="65"/>
      <c r="E132" s="65"/>
      <c r="F132" s="65"/>
      <c r="G132" s="65">
        <v>5.0330000000000004</v>
      </c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6">
        <f t="shared" si="79"/>
        <v>5.0330000000000004</v>
      </c>
      <c r="S132" s="67"/>
      <c r="T132" s="68"/>
      <c r="U132" s="68"/>
      <c r="V132" s="68"/>
      <c r="W132" s="68"/>
      <c r="X132" s="68">
        <f t="shared" ref="X132" si="129">G132/$R$132</f>
        <v>1</v>
      </c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59">
        <f t="shared" si="81"/>
        <v>1</v>
      </c>
    </row>
    <row r="133" spans="1:35" x14ac:dyDescent="0.3">
      <c r="A133" s="1">
        <v>214</v>
      </c>
      <c r="B133" s="65"/>
      <c r="C133" s="65"/>
      <c r="D133" s="65"/>
      <c r="E133" s="65">
        <v>0.92700000000000005</v>
      </c>
      <c r="F133" s="65">
        <v>0.65</v>
      </c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6">
        <f t="shared" si="79"/>
        <v>1.577</v>
      </c>
      <c r="S133" s="67"/>
      <c r="T133" s="68"/>
      <c r="U133" s="68"/>
      <c r="V133" s="68">
        <f t="shared" ref="V133:W133" si="130">E133/$R$133</f>
        <v>0.58782498414711482</v>
      </c>
      <c r="W133" s="68">
        <f t="shared" si="130"/>
        <v>0.41217501585288524</v>
      </c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59">
        <f t="shared" si="81"/>
        <v>1</v>
      </c>
    </row>
    <row r="134" spans="1:35" x14ac:dyDescent="0.3">
      <c r="A134" s="1">
        <v>226</v>
      </c>
      <c r="B134" s="65"/>
      <c r="C134" s="65"/>
      <c r="D134" s="65"/>
      <c r="E134" s="65">
        <v>2.6749999999999998</v>
      </c>
      <c r="F134" s="65">
        <v>0.14000000000000001</v>
      </c>
      <c r="G134" s="65">
        <v>2.5000000000000001E-2</v>
      </c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6">
        <f t="shared" si="79"/>
        <v>2.84</v>
      </c>
      <c r="S134" s="67"/>
      <c r="T134" s="68"/>
      <c r="U134" s="68"/>
      <c r="V134" s="68">
        <f t="shared" ref="V134:X134" si="131">E134/$R$134</f>
        <v>0.94190140845070425</v>
      </c>
      <c r="W134" s="68">
        <f t="shared" si="131"/>
        <v>4.9295774647887328E-2</v>
      </c>
      <c r="X134" s="68">
        <f t="shared" si="131"/>
        <v>8.8028169014084511E-3</v>
      </c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59">
        <f t="shared" si="81"/>
        <v>1</v>
      </c>
    </row>
    <row r="135" spans="1:35" x14ac:dyDescent="0.3">
      <c r="A135" s="1">
        <v>252</v>
      </c>
      <c r="B135" s="65"/>
      <c r="C135" s="65"/>
      <c r="D135" s="65"/>
      <c r="E135" s="65">
        <v>0.8</v>
      </c>
      <c r="F135" s="65">
        <v>9.0999999999999998E-2</v>
      </c>
      <c r="G135" s="65">
        <v>0.72499999999999998</v>
      </c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6">
        <f t="shared" si="79"/>
        <v>1.6160000000000001</v>
      </c>
      <c r="S135" s="67"/>
      <c r="T135" s="68"/>
      <c r="U135" s="68"/>
      <c r="V135" s="68">
        <f t="shared" ref="V135:X135" si="132">E135/$R$135</f>
        <v>0.49504950495049505</v>
      </c>
      <c r="W135" s="68">
        <f t="shared" si="132"/>
        <v>5.6311881188118806E-2</v>
      </c>
      <c r="X135" s="68">
        <f t="shared" si="132"/>
        <v>0.44863861386138609</v>
      </c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59">
        <f t="shared" si="81"/>
        <v>1</v>
      </c>
    </row>
    <row r="136" spans="1:35" x14ac:dyDescent="0.3">
      <c r="A136" s="1" t="s">
        <v>68</v>
      </c>
      <c r="B136" s="65"/>
      <c r="C136" s="65"/>
      <c r="D136" s="65"/>
      <c r="E136" s="65"/>
      <c r="F136" s="65"/>
      <c r="G136" s="65">
        <v>1.6</v>
      </c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6">
        <f t="shared" si="79"/>
        <v>1.6</v>
      </c>
      <c r="S136" s="67"/>
      <c r="T136" s="68"/>
      <c r="U136" s="68"/>
      <c r="V136" s="68"/>
      <c r="W136" s="68"/>
      <c r="X136" s="68">
        <f t="shared" ref="X136" si="133">G136/$R$136</f>
        <v>1</v>
      </c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59">
        <f t="shared" si="81"/>
        <v>1</v>
      </c>
    </row>
    <row r="137" spans="1:35" x14ac:dyDescent="0.3">
      <c r="A137" s="1">
        <v>230</v>
      </c>
      <c r="B137" s="65">
        <v>3.1230000000000002</v>
      </c>
      <c r="C137" s="65"/>
      <c r="D137" s="65"/>
      <c r="E137" s="65"/>
      <c r="F137" s="65">
        <v>0.38</v>
      </c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6">
        <f t="shared" si="79"/>
        <v>3.5030000000000001</v>
      </c>
      <c r="S137" s="67">
        <f>B137/$R$137</f>
        <v>0.89152155295461033</v>
      </c>
      <c r="T137" s="68"/>
      <c r="U137" s="68"/>
      <c r="V137" s="68"/>
      <c r="W137" s="68">
        <f t="shared" ref="W137" si="134">F137/$R$137</f>
        <v>0.10847844704538967</v>
      </c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59">
        <f t="shared" si="81"/>
        <v>1</v>
      </c>
    </row>
    <row r="138" spans="1:35" x14ac:dyDescent="0.3">
      <c r="A138" s="1">
        <v>248</v>
      </c>
      <c r="B138" s="65"/>
      <c r="C138" s="65">
        <v>1.1539999999999999</v>
      </c>
      <c r="D138" s="65"/>
      <c r="E138" s="65"/>
      <c r="F138" s="65">
        <v>4.4999999999999998E-2</v>
      </c>
      <c r="G138" s="65"/>
      <c r="H138" s="65"/>
      <c r="I138" s="65"/>
      <c r="J138" s="65"/>
      <c r="K138" s="65"/>
      <c r="L138" s="65"/>
      <c r="M138" s="65"/>
      <c r="N138" s="65"/>
      <c r="O138" s="65">
        <v>7.0000000000000001E-3</v>
      </c>
      <c r="P138" s="65"/>
      <c r="Q138" s="65"/>
      <c r="R138" s="66">
        <f t="shared" si="79"/>
        <v>1.2059999999999997</v>
      </c>
      <c r="S138" s="67"/>
      <c r="T138" s="68">
        <f t="shared" ref="T138:AF138" si="135">C138/$R$138</f>
        <v>0.95688225538971816</v>
      </c>
      <c r="U138" s="68"/>
      <c r="V138" s="68"/>
      <c r="W138" s="68">
        <f t="shared" si="135"/>
        <v>3.7313432835820899E-2</v>
      </c>
      <c r="X138" s="68"/>
      <c r="Y138" s="68"/>
      <c r="Z138" s="68"/>
      <c r="AA138" s="68"/>
      <c r="AB138" s="68"/>
      <c r="AC138" s="68"/>
      <c r="AD138" s="68"/>
      <c r="AE138" s="68"/>
      <c r="AF138" s="68">
        <f t="shared" si="135"/>
        <v>5.8043117744610295E-3</v>
      </c>
      <c r="AG138" s="68"/>
      <c r="AH138" s="68"/>
      <c r="AI138" s="59">
        <f t="shared" si="81"/>
        <v>1</v>
      </c>
    </row>
    <row r="139" spans="1:35" x14ac:dyDescent="0.3">
      <c r="A139" s="1">
        <v>233</v>
      </c>
      <c r="B139" s="65"/>
      <c r="C139" s="65"/>
      <c r="D139" s="65"/>
      <c r="E139" s="65"/>
      <c r="F139" s="65">
        <v>0.2</v>
      </c>
      <c r="G139" s="65">
        <v>2.6269999999999998</v>
      </c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6">
        <f t="shared" si="79"/>
        <v>2.827</v>
      </c>
      <c r="S139" s="67"/>
      <c r="T139" s="68"/>
      <c r="U139" s="68"/>
      <c r="V139" s="68"/>
      <c r="W139" s="68">
        <f t="shared" ref="W139:X139" si="136">F139/$R$139</f>
        <v>7.0746374248319782E-2</v>
      </c>
      <c r="X139" s="68">
        <f t="shared" si="136"/>
        <v>0.92925362575168013</v>
      </c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59">
        <f t="shared" si="81"/>
        <v>0.99999999999999989</v>
      </c>
    </row>
    <row r="140" spans="1:35" x14ac:dyDescent="0.3">
      <c r="A140" s="1">
        <v>215</v>
      </c>
      <c r="B140" s="65"/>
      <c r="C140" s="65"/>
      <c r="D140" s="65"/>
      <c r="E140" s="65">
        <v>3.12</v>
      </c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>
        <v>0.02</v>
      </c>
      <c r="R140" s="66">
        <f t="shared" si="79"/>
        <v>3.14</v>
      </c>
      <c r="S140" s="67"/>
      <c r="T140" s="68"/>
      <c r="U140" s="68"/>
      <c r="V140" s="68">
        <f t="shared" ref="V140:AH140" si="137">E140/$R$140</f>
        <v>0.99363057324840764</v>
      </c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>
        <f t="shared" si="137"/>
        <v>6.3694267515923561E-3</v>
      </c>
      <c r="AI140" s="59">
        <f t="shared" si="81"/>
        <v>1</v>
      </c>
    </row>
    <row r="141" spans="1:35" x14ac:dyDescent="0.3">
      <c r="A141" s="1">
        <v>249</v>
      </c>
      <c r="B141" s="65"/>
      <c r="C141" s="65"/>
      <c r="D141" s="65"/>
      <c r="E141" s="65"/>
      <c r="F141" s="65">
        <v>8.4000000000000005E-2</v>
      </c>
      <c r="G141" s="65">
        <v>1.26</v>
      </c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6">
        <f t="shared" si="79"/>
        <v>1.3440000000000001</v>
      </c>
      <c r="S141" s="67"/>
      <c r="T141" s="68"/>
      <c r="U141" s="68"/>
      <c r="V141" s="68"/>
      <c r="W141" s="68">
        <f t="shared" ref="W141:X141" si="138">F141/$R$141</f>
        <v>6.25E-2</v>
      </c>
      <c r="X141" s="68">
        <f t="shared" si="138"/>
        <v>0.9375</v>
      </c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59">
        <f t="shared" si="81"/>
        <v>1</v>
      </c>
    </row>
    <row r="142" spans="1:35" x14ac:dyDescent="0.3">
      <c r="A142" s="1" t="s">
        <v>70</v>
      </c>
      <c r="B142" s="65">
        <v>2.4</v>
      </c>
      <c r="C142" s="65"/>
      <c r="D142" s="65"/>
      <c r="E142" s="65"/>
      <c r="F142" s="65">
        <v>9.8000000000000004E-2</v>
      </c>
      <c r="G142" s="65"/>
      <c r="H142" s="65"/>
      <c r="I142" s="65"/>
      <c r="J142" s="65"/>
      <c r="K142" s="65"/>
      <c r="L142" s="65"/>
      <c r="M142" s="65"/>
      <c r="N142" s="65"/>
      <c r="O142" s="65">
        <v>2.3E-2</v>
      </c>
      <c r="P142" s="65"/>
      <c r="Q142" s="65"/>
      <c r="R142" s="66">
        <f t="shared" si="79"/>
        <v>2.5209999999999999</v>
      </c>
      <c r="S142" s="67">
        <f>B142/$R$142</f>
        <v>0.95200317334391116</v>
      </c>
      <c r="T142" s="68"/>
      <c r="U142" s="68"/>
      <c r="V142" s="68"/>
      <c r="W142" s="68">
        <f t="shared" ref="W142:AF142" si="139">F142/$R$142</f>
        <v>3.887346291154304E-2</v>
      </c>
      <c r="X142" s="68"/>
      <c r="Y142" s="68"/>
      <c r="Z142" s="68"/>
      <c r="AA142" s="68"/>
      <c r="AB142" s="68"/>
      <c r="AC142" s="68"/>
      <c r="AD142" s="68"/>
      <c r="AE142" s="68"/>
      <c r="AF142" s="68">
        <f t="shared" si="139"/>
        <v>9.1233637445458145E-3</v>
      </c>
      <c r="AG142" s="68"/>
      <c r="AH142" s="68"/>
      <c r="AI142" s="59">
        <f t="shared" si="81"/>
        <v>1</v>
      </c>
    </row>
    <row r="143" spans="1:35" x14ac:dyDescent="0.3">
      <c r="A143" s="1" t="s">
        <v>72</v>
      </c>
      <c r="B143" s="65"/>
      <c r="C143" s="65"/>
      <c r="D143" s="65"/>
      <c r="E143" s="65"/>
      <c r="F143" s="65"/>
      <c r="G143" s="65"/>
      <c r="H143" s="65"/>
      <c r="I143" s="65"/>
      <c r="J143" s="65"/>
      <c r="K143" s="65">
        <v>4.0000000000000001E-3</v>
      </c>
      <c r="L143" s="65"/>
      <c r="M143" s="65"/>
      <c r="N143" s="65">
        <v>0.81</v>
      </c>
      <c r="O143" s="65">
        <v>8.9999999999999993E-3</v>
      </c>
      <c r="P143" s="65">
        <v>0.2</v>
      </c>
      <c r="Q143" s="65"/>
      <c r="R143" s="66">
        <f t="shared" si="79"/>
        <v>1.0230000000000001</v>
      </c>
      <c r="S143" s="67"/>
      <c r="T143" s="68"/>
      <c r="U143" s="68"/>
      <c r="V143" s="68"/>
      <c r="W143" s="68"/>
      <c r="X143" s="68"/>
      <c r="Y143" s="68"/>
      <c r="Z143" s="68"/>
      <c r="AA143" s="68"/>
      <c r="AB143" s="68">
        <f t="shared" ref="AB143:AG143" si="140">K143/$R$143</f>
        <v>3.9100684261974585E-3</v>
      </c>
      <c r="AC143" s="68"/>
      <c r="AD143" s="68"/>
      <c r="AE143" s="68">
        <f t="shared" si="140"/>
        <v>0.7917888563049853</v>
      </c>
      <c r="AF143" s="68">
        <f t="shared" si="140"/>
        <v>8.7976539589442789E-3</v>
      </c>
      <c r="AG143" s="68">
        <f t="shared" si="140"/>
        <v>0.19550342130987292</v>
      </c>
      <c r="AH143" s="68"/>
      <c r="AI143" s="59">
        <f t="shared" si="81"/>
        <v>1</v>
      </c>
    </row>
    <row r="144" spans="1:35" x14ac:dyDescent="0.3">
      <c r="A144" s="1" t="s">
        <v>73</v>
      </c>
      <c r="B144" s="65">
        <v>2.2000000000000002</v>
      </c>
      <c r="C144" s="65"/>
      <c r="D144" s="65"/>
      <c r="E144" s="65"/>
      <c r="F144" s="65"/>
      <c r="G144" s="65">
        <v>1.02</v>
      </c>
      <c r="H144" s="65">
        <v>1</v>
      </c>
      <c r="I144" s="65"/>
      <c r="J144" s="65"/>
      <c r="K144" s="65"/>
      <c r="L144" s="65"/>
      <c r="M144" s="65"/>
      <c r="N144" s="65"/>
      <c r="O144" s="65">
        <v>5.0000000000000001E-3</v>
      </c>
      <c r="P144" s="65"/>
      <c r="Q144" s="65"/>
      <c r="R144" s="66">
        <f t="shared" si="79"/>
        <v>4.2250000000000005</v>
      </c>
      <c r="S144" s="67">
        <f>B144/$R$144</f>
        <v>0.52071005917159763</v>
      </c>
      <c r="T144" s="68"/>
      <c r="U144" s="68"/>
      <c r="V144" s="68"/>
      <c r="W144" s="68"/>
      <c r="X144" s="68">
        <f t="shared" ref="X144:AF144" si="141">G144/$R$144</f>
        <v>0.24142011834319524</v>
      </c>
      <c r="Y144" s="68">
        <f t="shared" si="141"/>
        <v>0.23668639053254434</v>
      </c>
      <c r="Z144" s="68"/>
      <c r="AA144" s="68"/>
      <c r="AB144" s="68"/>
      <c r="AC144" s="68"/>
      <c r="AD144" s="68"/>
      <c r="AE144" s="68"/>
      <c r="AF144" s="68">
        <f t="shared" si="141"/>
        <v>1.1834319526627217E-3</v>
      </c>
      <c r="AG144" s="68"/>
      <c r="AH144" s="68"/>
      <c r="AI144" s="59">
        <f t="shared" si="81"/>
        <v>0.99999999999999989</v>
      </c>
    </row>
    <row r="145" spans="1:35" x14ac:dyDescent="0.3">
      <c r="A145" s="1">
        <v>244</v>
      </c>
      <c r="B145" s="65"/>
      <c r="C145" s="65"/>
      <c r="D145" s="65"/>
      <c r="E145" s="65"/>
      <c r="F145" s="65"/>
      <c r="G145" s="65">
        <v>2.5070000000000001</v>
      </c>
      <c r="H145" s="65"/>
      <c r="I145" s="65"/>
      <c r="J145" s="65"/>
      <c r="K145" s="65"/>
      <c r="L145" s="65"/>
      <c r="M145" s="65"/>
      <c r="N145" s="65"/>
      <c r="O145" s="65">
        <v>5.0000000000000001E-3</v>
      </c>
      <c r="P145" s="65"/>
      <c r="Q145" s="65"/>
      <c r="R145" s="66">
        <f t="shared" si="79"/>
        <v>2.512</v>
      </c>
      <c r="S145" s="67"/>
      <c r="T145" s="68"/>
      <c r="U145" s="68"/>
      <c r="V145" s="68"/>
      <c r="W145" s="68"/>
      <c r="X145" s="68">
        <f t="shared" ref="X145:AF145" si="142">G145/$R$145</f>
        <v>0.99800955414012749</v>
      </c>
      <c r="Y145" s="68"/>
      <c r="Z145" s="68"/>
      <c r="AA145" s="68"/>
      <c r="AB145" s="68"/>
      <c r="AC145" s="68"/>
      <c r="AD145" s="68"/>
      <c r="AE145" s="68"/>
      <c r="AF145" s="68">
        <f t="shared" si="142"/>
        <v>1.9904458598726115E-3</v>
      </c>
      <c r="AG145" s="68"/>
      <c r="AH145" s="68"/>
      <c r="AI145" s="59">
        <f t="shared" si="81"/>
        <v>1</v>
      </c>
    </row>
    <row r="146" spans="1:35" x14ac:dyDescent="0.3">
      <c r="A146" s="1" t="s">
        <v>74</v>
      </c>
      <c r="B146" s="65"/>
      <c r="C146" s="65">
        <v>1.63</v>
      </c>
      <c r="D146" s="65"/>
      <c r="E146" s="65"/>
      <c r="F146" s="65">
        <v>0.125</v>
      </c>
      <c r="G146" s="65"/>
      <c r="H146" s="65"/>
      <c r="I146" s="65"/>
      <c r="J146" s="65"/>
      <c r="K146" s="65"/>
      <c r="L146" s="65"/>
      <c r="M146" s="65"/>
      <c r="N146" s="65"/>
      <c r="O146" s="65">
        <v>1E-3</v>
      </c>
      <c r="P146" s="65"/>
      <c r="Q146" s="65"/>
      <c r="R146" s="66">
        <f t="shared" si="79"/>
        <v>1.7559999999999998</v>
      </c>
      <c r="S146" s="67"/>
      <c r="T146" s="68">
        <f t="shared" ref="T146:AF146" si="143">C146/$R$146</f>
        <v>0.92824601366742598</v>
      </c>
      <c r="U146" s="68"/>
      <c r="V146" s="68"/>
      <c r="W146" s="68">
        <f t="shared" si="143"/>
        <v>7.1184510250569488E-2</v>
      </c>
      <c r="X146" s="68"/>
      <c r="Y146" s="68"/>
      <c r="Z146" s="68"/>
      <c r="AA146" s="68"/>
      <c r="AB146" s="68"/>
      <c r="AC146" s="68"/>
      <c r="AD146" s="68"/>
      <c r="AE146" s="68"/>
      <c r="AF146" s="68">
        <f t="shared" si="143"/>
        <v>5.6947608200455589E-4</v>
      </c>
      <c r="AG146" s="68"/>
      <c r="AH146" s="68"/>
      <c r="AI146" s="59">
        <f t="shared" si="81"/>
        <v>1</v>
      </c>
    </row>
    <row r="147" spans="1:35" x14ac:dyDescent="0.3">
      <c r="A147" s="1" t="s">
        <v>75</v>
      </c>
      <c r="B147" s="65"/>
      <c r="C147" s="65"/>
      <c r="D147" s="65"/>
      <c r="E147" s="65"/>
      <c r="F147" s="65"/>
      <c r="G147" s="65">
        <v>1.5</v>
      </c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6">
        <f t="shared" si="79"/>
        <v>1.5</v>
      </c>
      <c r="S147" s="67"/>
      <c r="T147" s="68"/>
      <c r="U147" s="68"/>
      <c r="V147" s="68"/>
      <c r="W147" s="68"/>
      <c r="X147" s="68">
        <f t="shared" ref="X147" si="144">G147/$R$147</f>
        <v>1</v>
      </c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59">
        <f t="shared" si="81"/>
        <v>1</v>
      </c>
    </row>
    <row r="148" spans="1:35" x14ac:dyDescent="0.3">
      <c r="A148" s="1">
        <v>228</v>
      </c>
      <c r="B148" s="65"/>
      <c r="C148" s="65"/>
      <c r="D148" s="65"/>
      <c r="E148" s="65">
        <v>3.1</v>
      </c>
      <c r="F148" s="65">
        <v>8.5000000000000006E-2</v>
      </c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6">
        <f t="shared" ref="R148:R160" si="145">SUM(B148:Q148)</f>
        <v>3.1850000000000001</v>
      </c>
      <c r="S148" s="67"/>
      <c r="T148" s="68"/>
      <c r="U148" s="68"/>
      <c r="V148" s="68">
        <f t="shared" ref="V148:W148" si="146">E148/$R$148</f>
        <v>0.9733124018838305</v>
      </c>
      <c r="W148" s="68">
        <f t="shared" si="146"/>
        <v>2.6687598116169546E-2</v>
      </c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59">
        <f t="shared" ref="AI148:AI160" si="147">SUM(S148:AH148)</f>
        <v>1</v>
      </c>
    </row>
    <row r="149" spans="1:35" x14ac:dyDescent="0.3">
      <c r="A149" s="1" t="s">
        <v>76</v>
      </c>
      <c r="B149" s="65"/>
      <c r="C149" s="65"/>
      <c r="D149" s="65"/>
      <c r="E149" s="65">
        <v>2.105</v>
      </c>
      <c r="F149" s="65">
        <v>0.39</v>
      </c>
      <c r="G149" s="65">
        <v>1.5249999999999999</v>
      </c>
      <c r="H149" s="65"/>
      <c r="I149" s="65"/>
      <c r="J149" s="65"/>
      <c r="K149" s="65"/>
      <c r="L149" s="65"/>
      <c r="M149" s="65"/>
      <c r="N149" s="65"/>
      <c r="O149" s="65">
        <v>5.0000000000000001E-3</v>
      </c>
      <c r="P149" s="65"/>
      <c r="Q149" s="65"/>
      <c r="R149" s="66">
        <f t="shared" si="145"/>
        <v>4.0249999999999995</v>
      </c>
      <c r="S149" s="67"/>
      <c r="T149" s="68"/>
      <c r="U149" s="68"/>
      <c r="V149" s="68">
        <f t="shared" ref="V149:AF149" si="148">E149/$R$149</f>
        <v>0.52298136645962734</v>
      </c>
      <c r="W149" s="68">
        <f t="shared" si="148"/>
        <v>9.6894409937888212E-2</v>
      </c>
      <c r="X149" s="68">
        <f t="shared" si="148"/>
        <v>0.3788819875776398</v>
      </c>
      <c r="Y149" s="68"/>
      <c r="Z149" s="68"/>
      <c r="AA149" s="68"/>
      <c r="AB149" s="68"/>
      <c r="AC149" s="68"/>
      <c r="AD149" s="68"/>
      <c r="AE149" s="68"/>
      <c r="AF149" s="68">
        <f t="shared" si="148"/>
        <v>1.2422360248447208E-3</v>
      </c>
      <c r="AG149" s="68"/>
      <c r="AH149" s="68"/>
      <c r="AI149" s="59">
        <f t="shared" si="147"/>
        <v>1</v>
      </c>
    </row>
    <row r="150" spans="1:35" x14ac:dyDescent="0.3">
      <c r="A150" s="1" t="s">
        <v>77</v>
      </c>
      <c r="B150" s="65"/>
      <c r="C150" s="65"/>
      <c r="D150" s="65"/>
      <c r="E150" s="65"/>
      <c r="F150" s="65"/>
      <c r="G150" s="65">
        <v>3.1219999999999999</v>
      </c>
      <c r="H150" s="65">
        <v>0.93</v>
      </c>
      <c r="I150" s="65"/>
      <c r="J150" s="65"/>
      <c r="K150" s="65"/>
      <c r="L150" s="65"/>
      <c r="M150" s="65"/>
      <c r="N150" s="65"/>
      <c r="O150" s="65"/>
      <c r="P150" s="65"/>
      <c r="Q150" s="65"/>
      <c r="R150" s="66">
        <f t="shared" si="145"/>
        <v>4.0519999999999996</v>
      </c>
      <c r="S150" s="67"/>
      <c r="T150" s="68"/>
      <c r="U150" s="68"/>
      <c r="V150" s="68"/>
      <c r="W150" s="68"/>
      <c r="X150" s="68">
        <f t="shared" ref="X150:Y150" si="149">G150/$R$150</f>
        <v>0.77048371174728536</v>
      </c>
      <c r="Y150" s="68">
        <f t="shared" si="149"/>
        <v>0.22951628825271475</v>
      </c>
      <c r="Z150" s="68"/>
      <c r="AA150" s="68"/>
      <c r="AB150" s="68"/>
      <c r="AC150" s="68"/>
      <c r="AD150" s="68"/>
      <c r="AE150" s="68"/>
      <c r="AF150" s="68"/>
      <c r="AG150" s="68"/>
      <c r="AH150" s="68"/>
      <c r="AI150" s="59">
        <f t="shared" si="147"/>
        <v>1</v>
      </c>
    </row>
    <row r="151" spans="1:35" x14ac:dyDescent="0.3">
      <c r="A151" s="1" t="s">
        <v>78</v>
      </c>
      <c r="B151" s="65"/>
      <c r="C151" s="65"/>
      <c r="D151" s="65"/>
      <c r="E151" s="65"/>
      <c r="F151" s="65"/>
      <c r="G151" s="65"/>
      <c r="H151" s="65">
        <v>3.35</v>
      </c>
      <c r="I151" s="65"/>
      <c r="J151" s="65"/>
      <c r="K151" s="65"/>
      <c r="L151" s="65"/>
      <c r="M151" s="65"/>
      <c r="N151" s="65"/>
      <c r="O151" s="65"/>
      <c r="P151" s="65"/>
      <c r="Q151" s="65"/>
      <c r="R151" s="66">
        <f t="shared" si="145"/>
        <v>3.35</v>
      </c>
      <c r="S151" s="67"/>
      <c r="T151" s="68"/>
      <c r="U151" s="68"/>
      <c r="V151" s="68"/>
      <c r="W151" s="68"/>
      <c r="X151" s="68"/>
      <c r="Y151" s="68">
        <f t="shared" ref="Y151" si="150">H151/$R$151</f>
        <v>1</v>
      </c>
      <c r="Z151" s="68"/>
      <c r="AA151" s="68"/>
      <c r="AB151" s="68"/>
      <c r="AC151" s="68"/>
      <c r="AD151" s="68"/>
      <c r="AE151" s="68"/>
      <c r="AF151" s="68"/>
      <c r="AG151" s="68"/>
      <c r="AH151" s="68"/>
      <c r="AI151" s="59">
        <f t="shared" si="147"/>
        <v>1</v>
      </c>
    </row>
    <row r="152" spans="1:35" x14ac:dyDescent="0.3">
      <c r="A152" s="1">
        <v>217</v>
      </c>
      <c r="B152" s="65"/>
      <c r="C152" s="65"/>
      <c r="D152" s="65"/>
      <c r="E152" s="65"/>
      <c r="F152" s="65">
        <v>0.71599999999999997</v>
      </c>
      <c r="G152" s="65">
        <v>0.92500000000000004</v>
      </c>
      <c r="H152" s="65">
        <v>0.11</v>
      </c>
      <c r="I152" s="65"/>
      <c r="J152" s="65"/>
      <c r="K152" s="65"/>
      <c r="L152" s="65"/>
      <c r="M152" s="65"/>
      <c r="N152" s="65"/>
      <c r="O152" s="65"/>
      <c r="P152" s="65"/>
      <c r="Q152" s="65"/>
      <c r="R152" s="66">
        <f t="shared" si="145"/>
        <v>1.7510000000000001</v>
      </c>
      <c r="S152" s="67"/>
      <c r="T152" s="68"/>
      <c r="U152" s="68"/>
      <c r="V152" s="68"/>
      <c r="W152" s="68">
        <f t="shared" ref="W152:Y152" si="151">F152/$R$152</f>
        <v>0.40890919474585946</v>
      </c>
      <c r="X152" s="68">
        <f t="shared" si="151"/>
        <v>0.52826956025128502</v>
      </c>
      <c r="Y152" s="68">
        <f t="shared" si="151"/>
        <v>6.2821245002855505E-2</v>
      </c>
      <c r="Z152" s="68"/>
      <c r="AA152" s="68"/>
      <c r="AB152" s="68"/>
      <c r="AC152" s="68"/>
      <c r="AD152" s="68"/>
      <c r="AE152" s="68"/>
      <c r="AF152" s="68"/>
      <c r="AG152" s="68"/>
      <c r="AH152" s="68"/>
      <c r="AI152" s="59">
        <f t="shared" si="147"/>
        <v>0.99999999999999989</v>
      </c>
    </row>
    <row r="153" spans="1:35" x14ac:dyDescent="0.3">
      <c r="A153" s="1" t="s">
        <v>80</v>
      </c>
      <c r="B153" s="65"/>
      <c r="C153" s="65">
        <v>2.1</v>
      </c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6">
        <f t="shared" si="145"/>
        <v>2.1</v>
      </c>
      <c r="S153" s="67"/>
      <c r="T153" s="68">
        <f t="shared" ref="T153" si="152">C153/$R$153</f>
        <v>1</v>
      </c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59">
        <f t="shared" si="147"/>
        <v>1</v>
      </c>
    </row>
    <row r="154" spans="1:35" x14ac:dyDescent="0.3">
      <c r="A154" s="1" t="s">
        <v>81</v>
      </c>
      <c r="B154" s="65"/>
      <c r="C154" s="65">
        <v>2.8</v>
      </c>
      <c r="D154" s="65"/>
      <c r="E154" s="65"/>
      <c r="F154" s="65">
        <v>0.22500000000000001</v>
      </c>
      <c r="G154" s="65"/>
      <c r="H154" s="65"/>
      <c r="I154" s="65">
        <v>5.0000000000000001E-3</v>
      </c>
      <c r="J154" s="65"/>
      <c r="K154" s="65"/>
      <c r="L154" s="65"/>
      <c r="M154" s="65"/>
      <c r="N154" s="65"/>
      <c r="O154" s="65">
        <v>5.0000000000000001E-3</v>
      </c>
      <c r="P154" s="65"/>
      <c r="Q154" s="65"/>
      <c r="R154" s="66">
        <f t="shared" si="145"/>
        <v>3.0349999999999997</v>
      </c>
      <c r="S154" s="67"/>
      <c r="T154" s="68">
        <f t="shared" ref="T154:AF154" si="153">C154/$R$154</f>
        <v>0.92257001647446457</v>
      </c>
      <c r="U154" s="68"/>
      <c r="V154" s="68"/>
      <c r="W154" s="68">
        <f t="shared" si="153"/>
        <v>7.4135090609555199E-2</v>
      </c>
      <c r="X154" s="68"/>
      <c r="Y154" s="68"/>
      <c r="Z154" s="68">
        <f t="shared" si="153"/>
        <v>1.6474464579901156E-3</v>
      </c>
      <c r="AA154" s="68"/>
      <c r="AB154" s="68"/>
      <c r="AC154" s="68"/>
      <c r="AD154" s="68"/>
      <c r="AE154" s="68"/>
      <c r="AF154" s="68">
        <f t="shared" si="153"/>
        <v>1.6474464579901156E-3</v>
      </c>
      <c r="AG154" s="68"/>
      <c r="AH154" s="68"/>
      <c r="AI154" s="59">
        <f t="shared" si="147"/>
        <v>1</v>
      </c>
    </row>
    <row r="155" spans="1:35" x14ac:dyDescent="0.3">
      <c r="A155" s="1">
        <v>352</v>
      </c>
      <c r="B155" s="65"/>
      <c r="C155" s="65"/>
      <c r="D155" s="65">
        <v>1.367</v>
      </c>
      <c r="E155" s="65"/>
      <c r="F155" s="65"/>
      <c r="G155" s="65"/>
      <c r="H155" s="65"/>
      <c r="I155" s="65"/>
      <c r="J155" s="65"/>
      <c r="K155" s="65"/>
      <c r="L155" s="65"/>
      <c r="M155" s="1">
        <v>5.0000000000000001E-4</v>
      </c>
      <c r="N155" s="65"/>
      <c r="O155" s="65"/>
      <c r="P155" s="65"/>
      <c r="Q155" s="65"/>
      <c r="R155" s="66">
        <f t="shared" si="145"/>
        <v>1.3674999999999999</v>
      </c>
      <c r="S155" s="67"/>
      <c r="T155" s="68"/>
      <c r="U155" s="68">
        <f t="shared" ref="U155:AD155" si="154">D155/$R$155</f>
        <v>0.9996343692870201</v>
      </c>
      <c r="V155" s="68"/>
      <c r="W155" s="68"/>
      <c r="X155" s="68"/>
      <c r="Y155" s="68"/>
      <c r="Z155" s="68"/>
      <c r="AA155" s="68"/>
      <c r="AB155" s="68"/>
      <c r="AC155" s="68"/>
      <c r="AD155" s="68">
        <f t="shared" si="154"/>
        <v>3.6563071297989033E-4</v>
      </c>
      <c r="AE155" s="68"/>
      <c r="AF155" s="68"/>
      <c r="AG155" s="68"/>
      <c r="AH155" s="68"/>
      <c r="AI155" s="59">
        <f t="shared" si="147"/>
        <v>1</v>
      </c>
    </row>
    <row r="156" spans="1:35" x14ac:dyDescent="0.3">
      <c r="A156" s="1">
        <v>332</v>
      </c>
      <c r="B156" s="65"/>
      <c r="C156" s="65"/>
      <c r="D156" s="65">
        <v>3.0920000000000001</v>
      </c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6">
        <f t="shared" si="145"/>
        <v>3.0920000000000001</v>
      </c>
      <c r="S156" s="67"/>
      <c r="T156" s="68"/>
      <c r="U156" s="68">
        <f t="shared" ref="U156" si="155">D156/$R$156</f>
        <v>1</v>
      </c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59">
        <f t="shared" si="147"/>
        <v>1</v>
      </c>
    </row>
    <row r="157" spans="1:35" x14ac:dyDescent="0.3">
      <c r="A157" s="1">
        <v>339</v>
      </c>
      <c r="B157" s="65"/>
      <c r="C157" s="65"/>
      <c r="D157" s="65">
        <v>2.7410000000000001</v>
      </c>
      <c r="E157" s="65"/>
      <c r="F157" s="65">
        <v>0.125</v>
      </c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6">
        <f t="shared" si="145"/>
        <v>2.8660000000000001</v>
      </c>
      <c r="S157" s="67"/>
      <c r="T157" s="68"/>
      <c r="U157" s="68">
        <f t="shared" ref="U157:W157" si="156">D157/$R$157</f>
        <v>0.95638520586182829</v>
      </c>
      <c r="V157" s="68"/>
      <c r="W157" s="68">
        <f t="shared" si="156"/>
        <v>4.3614794138171667E-2</v>
      </c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59">
        <f t="shared" si="147"/>
        <v>1</v>
      </c>
    </row>
    <row r="158" spans="1:35" x14ac:dyDescent="0.3">
      <c r="A158" s="1">
        <v>347</v>
      </c>
      <c r="B158" s="1"/>
      <c r="C158" s="1"/>
      <c r="D158" s="1">
        <v>2.032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66">
        <f t="shared" si="145"/>
        <v>2.032</v>
      </c>
      <c r="S158" s="67"/>
      <c r="T158" s="68"/>
      <c r="U158" s="68">
        <f t="shared" ref="U158" si="157">D158/$R$158</f>
        <v>1</v>
      </c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59">
        <f t="shared" si="147"/>
        <v>1</v>
      </c>
    </row>
    <row r="159" spans="1:35" x14ac:dyDescent="0.3">
      <c r="A159" s="1">
        <v>346</v>
      </c>
      <c r="B159" s="1"/>
      <c r="C159" s="1"/>
      <c r="D159" s="1">
        <v>2.0470000000000002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66">
        <f t="shared" si="145"/>
        <v>2.0470000000000002</v>
      </c>
      <c r="S159" s="67"/>
      <c r="T159" s="68"/>
      <c r="U159" s="68">
        <f t="shared" ref="U159" si="158">D159/$R$159</f>
        <v>1</v>
      </c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59">
        <f t="shared" si="147"/>
        <v>1</v>
      </c>
    </row>
    <row r="160" spans="1:35" x14ac:dyDescent="0.3">
      <c r="A160" s="1">
        <v>353</v>
      </c>
      <c r="B160" s="1"/>
      <c r="C160" s="1"/>
      <c r="D160" s="1"/>
      <c r="E160" s="1">
        <v>3.355</v>
      </c>
      <c r="F160" s="1">
        <v>0.48499999999999999</v>
      </c>
      <c r="G160" s="1"/>
      <c r="H160" s="1"/>
      <c r="I160" s="1"/>
      <c r="J160" s="1"/>
      <c r="K160" s="1"/>
      <c r="L160" s="1"/>
      <c r="M160" s="1"/>
      <c r="N160" s="1"/>
      <c r="O160" s="1">
        <v>9.5000000000000001E-2</v>
      </c>
      <c r="P160" s="1"/>
      <c r="Q160" s="1"/>
      <c r="R160" s="66">
        <f t="shared" si="145"/>
        <v>3.9350000000000001</v>
      </c>
      <c r="S160" s="67"/>
      <c r="T160" s="68"/>
      <c r="U160" s="68"/>
      <c r="V160" s="68">
        <f t="shared" ref="V160:AF160" si="159">E160/$R$160</f>
        <v>0.85260482846251584</v>
      </c>
      <c r="W160" s="68">
        <f t="shared" si="159"/>
        <v>0.1232528589580686</v>
      </c>
      <c r="X160" s="68"/>
      <c r="Y160" s="68"/>
      <c r="Z160" s="68"/>
      <c r="AA160" s="68"/>
      <c r="AB160" s="68"/>
      <c r="AC160" s="68"/>
      <c r="AD160" s="68"/>
      <c r="AE160" s="68"/>
      <c r="AF160" s="68">
        <f t="shared" si="159"/>
        <v>2.4142312579415501E-2</v>
      </c>
      <c r="AG160" s="68"/>
      <c r="AH160" s="68"/>
      <c r="AI160" s="59">
        <f t="shared" si="147"/>
        <v>0.99999999999999989</v>
      </c>
    </row>
    <row r="161" spans="1:35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60" t="s">
        <v>87</v>
      </c>
      <c r="S161" s="69">
        <f>AVERAGE(S83:S160)</f>
        <v>0.58266068883435262</v>
      </c>
      <c r="T161" s="69">
        <f t="shared" ref="T161:AI161" si="160">AVERAGE(T83:T160)</f>
        <v>0.91367195321160422</v>
      </c>
      <c r="U161" s="69">
        <f t="shared" si="160"/>
        <v>0.74628890964586991</v>
      </c>
      <c r="V161" s="69">
        <f t="shared" si="160"/>
        <v>0.74229897063953498</v>
      </c>
      <c r="W161" s="69">
        <f t="shared" si="160"/>
        <v>0.210923041619792</v>
      </c>
      <c r="X161" s="69">
        <f t="shared" si="160"/>
        <v>0.65480565880418629</v>
      </c>
      <c r="Y161" s="69">
        <f t="shared" si="160"/>
        <v>0.24623623414622881</v>
      </c>
      <c r="Z161" s="69">
        <f t="shared" si="160"/>
        <v>0.53986280595776059</v>
      </c>
      <c r="AA161" s="69">
        <f t="shared" si="160"/>
        <v>1.6025641025641023E-3</v>
      </c>
      <c r="AB161" s="69">
        <f t="shared" si="160"/>
        <v>1.5823250013526167E-2</v>
      </c>
      <c r="AC161" s="69">
        <f t="shared" si="160"/>
        <v>2.3165307635285393E-2</v>
      </c>
      <c r="AD161" s="69">
        <f t="shared" si="160"/>
        <v>5.6153385163236567E-3</v>
      </c>
      <c r="AE161" s="69">
        <f t="shared" si="160"/>
        <v>0.29271929359990029</v>
      </c>
      <c r="AF161" s="69">
        <f t="shared" si="160"/>
        <v>6.5667750150766079E-3</v>
      </c>
      <c r="AG161" s="69">
        <f t="shared" si="160"/>
        <v>0.19550342130987292</v>
      </c>
      <c r="AH161" s="69">
        <f t="shared" si="160"/>
        <v>6.3694267515923561E-3</v>
      </c>
      <c r="AI161" s="68">
        <f t="shared" si="160"/>
        <v>0.99998946980466485</v>
      </c>
    </row>
    <row r="162" spans="1:35" x14ac:dyDescent="0.3">
      <c r="B162" s="129">
        <f>SUM(B83:B161)</f>
        <v>12.711000000000002</v>
      </c>
      <c r="C162" s="129">
        <f t="shared" ref="C162:Q162" si="161">SUM(C83:C161)</f>
        <v>27.69</v>
      </c>
      <c r="D162" s="129">
        <f t="shared" si="161"/>
        <v>27.641999999999999</v>
      </c>
      <c r="E162" s="129">
        <f t="shared" si="161"/>
        <v>37.48299999999999</v>
      </c>
      <c r="F162" s="129">
        <f t="shared" si="161"/>
        <v>25.938000000000002</v>
      </c>
      <c r="G162" s="129">
        <f t="shared" si="161"/>
        <v>83.427000000000007</v>
      </c>
      <c r="H162" s="129">
        <f t="shared" si="161"/>
        <v>5.6710000000000003</v>
      </c>
      <c r="I162" s="129">
        <f t="shared" si="161"/>
        <v>5.3049999999999997</v>
      </c>
      <c r="J162" s="129">
        <f t="shared" si="161"/>
        <v>8.9999999999999993E-3</v>
      </c>
      <c r="K162" s="129">
        <f t="shared" si="161"/>
        <v>0.20800000000000002</v>
      </c>
      <c r="L162" s="129">
        <f t="shared" si="161"/>
        <v>0.125</v>
      </c>
      <c r="M162" s="129">
        <f t="shared" si="161"/>
        <v>6.9500000000000006E-2</v>
      </c>
      <c r="N162" s="129">
        <f t="shared" si="161"/>
        <v>1.024</v>
      </c>
      <c r="O162" s="129">
        <f t="shared" si="161"/>
        <v>0.41800000000000004</v>
      </c>
      <c r="P162" s="129">
        <f t="shared" si="161"/>
        <v>0.2</v>
      </c>
      <c r="Q162" s="129">
        <f t="shared" si="161"/>
        <v>0.02</v>
      </c>
    </row>
    <row r="163" spans="1:35" x14ac:dyDescent="0.3">
      <c r="S163" s="9"/>
      <c r="X163" s="9"/>
      <c r="Y163" s="8"/>
    </row>
    <row r="164" spans="1:35" x14ac:dyDescent="0.3">
      <c r="AC164" s="9">
        <f>AVERAGE(AC83:AH160)</f>
        <v>3.9661718887333698E-2</v>
      </c>
    </row>
    <row r="165" spans="1:35" x14ac:dyDescent="0.3">
      <c r="B165" s="129">
        <f>SUM(B162:E162)</f>
        <v>105.526</v>
      </c>
      <c r="K165" s="129">
        <f>SUM(L162:Q162)</f>
        <v>1.8565000000000003</v>
      </c>
      <c r="S165" s="9">
        <f>AVERAGE(S83:V160)</f>
        <v>0.75982011918730463</v>
      </c>
    </row>
  </sheetData>
  <mergeCells count="2">
    <mergeCell ref="AN4:AO4"/>
    <mergeCell ref="AL4:AM4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82"/>
  <sheetViews>
    <sheetView showGridLines="0" topLeftCell="D1" zoomScale="80" zoomScaleNormal="80" workbookViewId="0">
      <selection activeCell="L30" sqref="L30"/>
    </sheetView>
  </sheetViews>
  <sheetFormatPr defaultRowHeight="14.4" x14ac:dyDescent="0.3"/>
  <cols>
    <col min="1" max="1" width="24.5546875" customWidth="1"/>
    <col min="5" max="5" width="13.88671875" customWidth="1"/>
    <col min="6" max="6" width="12.44140625" style="2" customWidth="1"/>
    <col min="7" max="7" width="15" style="2" customWidth="1"/>
    <col min="8" max="8" width="11.88671875" customWidth="1"/>
    <col min="9" max="10" width="15.33203125" customWidth="1"/>
    <col min="11" max="11" width="15.88671875" customWidth="1"/>
    <col min="12" max="17" width="18" customWidth="1"/>
    <col min="18" max="18" width="18.33203125" customWidth="1"/>
    <col min="19" max="19" width="28" customWidth="1"/>
    <col min="20" max="20" width="25.109375" customWidth="1"/>
    <col min="21" max="21" width="20.5546875" customWidth="1"/>
    <col min="22" max="22" width="19" customWidth="1"/>
    <col min="23" max="23" width="26.33203125" customWidth="1"/>
    <col min="24" max="24" width="20.6640625" customWidth="1"/>
    <col min="25" max="25" width="19.33203125" customWidth="1"/>
    <col min="26" max="26" width="22.5546875" customWidth="1"/>
    <col min="27" max="27" width="21" customWidth="1"/>
    <col min="28" max="28" width="6.44140625" customWidth="1"/>
    <col min="29" max="29" width="10.44140625" customWidth="1"/>
    <col min="30" max="30" width="11.6640625" customWidth="1"/>
    <col min="31" max="32" width="12" customWidth="1"/>
  </cols>
  <sheetData>
    <row r="1" spans="1:40" ht="18.600000000000001" x14ac:dyDescent="0.3">
      <c r="A1" s="52" t="s">
        <v>92</v>
      </c>
      <c r="B1" s="147" t="s">
        <v>93</v>
      </c>
      <c r="C1" s="148"/>
      <c r="D1" s="149" t="s">
        <v>94</v>
      </c>
      <c r="E1" s="150"/>
      <c r="F1" s="147" t="s">
        <v>88</v>
      </c>
      <c r="G1" s="148"/>
      <c r="H1" s="147" t="s">
        <v>95</v>
      </c>
      <c r="I1" s="148"/>
      <c r="J1" s="147" t="s">
        <v>96</v>
      </c>
      <c r="K1" s="148"/>
      <c r="L1" s="14"/>
      <c r="M1" s="136" t="s">
        <v>88</v>
      </c>
      <c r="N1" s="137"/>
      <c r="O1" s="130" t="s">
        <v>84</v>
      </c>
      <c r="P1" s="135"/>
      <c r="Q1" s="110"/>
      <c r="R1" s="14"/>
      <c r="S1" s="142" t="s">
        <v>97</v>
      </c>
      <c r="T1" s="142"/>
      <c r="U1" s="14"/>
      <c r="V1" s="14"/>
      <c r="W1" s="15"/>
      <c r="X1" s="15"/>
      <c r="Y1" s="15"/>
      <c r="Z1" s="15"/>
      <c r="AA1" s="15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.6" x14ac:dyDescent="0.3">
      <c r="A2" s="54"/>
      <c r="B2" s="106" t="s">
        <v>98</v>
      </c>
      <c r="C2" s="106" t="s">
        <v>99</v>
      </c>
      <c r="D2" s="106" t="s">
        <v>94</v>
      </c>
      <c r="E2" s="107" t="s">
        <v>100</v>
      </c>
      <c r="F2" s="107" t="s">
        <v>101</v>
      </c>
      <c r="G2" s="108" t="s">
        <v>102</v>
      </c>
      <c r="H2" s="108" t="s">
        <v>101</v>
      </c>
      <c r="I2" s="108" t="s">
        <v>102</v>
      </c>
      <c r="J2" s="106" t="s">
        <v>101</v>
      </c>
      <c r="K2" s="106" t="s">
        <v>102</v>
      </c>
      <c r="L2" s="14" t="s">
        <v>157</v>
      </c>
      <c r="M2" s="43" t="s">
        <v>85</v>
      </c>
      <c r="N2" s="43" t="s">
        <v>86</v>
      </c>
      <c r="O2" s="44" t="s">
        <v>85</v>
      </c>
      <c r="P2" s="45" t="s">
        <v>86</v>
      </c>
      <c r="Q2" s="15"/>
      <c r="R2" s="14"/>
      <c r="S2" s="14"/>
      <c r="T2" s="14"/>
      <c r="U2" s="14"/>
      <c r="V2" s="14"/>
      <c r="W2" s="14"/>
      <c r="X2" s="14"/>
      <c r="Y2" s="16"/>
      <c r="Z2" s="16"/>
      <c r="AA2" s="16"/>
    </row>
    <row r="3" spans="1:40" x14ac:dyDescent="0.3">
      <c r="A3" s="17" t="s">
        <v>103</v>
      </c>
      <c r="B3" s="18">
        <v>45</v>
      </c>
      <c r="C3" s="19">
        <f>B3/77*100</f>
        <v>58.441558441558442</v>
      </c>
      <c r="D3" s="18">
        <f>SUM(D4:D5)</f>
        <v>48</v>
      </c>
      <c r="E3" s="20">
        <f>D3/425*100</f>
        <v>11.294117647058824</v>
      </c>
      <c r="F3" s="21" t="s">
        <v>104</v>
      </c>
      <c r="G3" s="22" t="s">
        <v>104</v>
      </c>
      <c r="H3" s="23" t="s">
        <v>104</v>
      </c>
      <c r="I3" s="23" t="s">
        <v>104</v>
      </c>
      <c r="J3" s="56">
        <f>SUM(J4:J5)</f>
        <v>30.720000000000002</v>
      </c>
      <c r="K3" s="56">
        <f>SUM(K4:K5)</f>
        <v>35.190000000000005</v>
      </c>
      <c r="L3" s="121">
        <f>SUM(L4,L6:L8)</f>
        <v>35.47</v>
      </c>
      <c r="M3" s="29" t="s">
        <v>5</v>
      </c>
      <c r="N3" s="39">
        <v>22.77</v>
      </c>
      <c r="O3" s="29" t="s">
        <v>5</v>
      </c>
      <c r="P3" s="39">
        <v>57.650852681312642</v>
      </c>
      <c r="Q3" s="28"/>
      <c r="R3" s="24" t="s">
        <v>85</v>
      </c>
      <c r="S3" s="25" t="s">
        <v>99</v>
      </c>
      <c r="T3" s="25" t="s">
        <v>105</v>
      </c>
      <c r="U3" s="25" t="s">
        <v>84</v>
      </c>
      <c r="V3" s="25" t="s">
        <v>106</v>
      </c>
      <c r="W3" s="25" t="s">
        <v>107</v>
      </c>
      <c r="X3" s="25" t="s">
        <v>108</v>
      </c>
      <c r="Y3" s="25" t="s">
        <v>109</v>
      </c>
      <c r="Z3" s="16"/>
      <c r="AA3" s="16"/>
    </row>
    <row r="4" spans="1:40" ht="18.600000000000001" x14ac:dyDescent="0.3">
      <c r="A4" s="26" t="s">
        <v>110</v>
      </c>
      <c r="B4" s="18">
        <v>7</v>
      </c>
      <c r="C4" s="19">
        <f t="shared" ref="C4:C26" si="0">B4/77*100</f>
        <v>9.0909090909090917</v>
      </c>
      <c r="D4" s="18">
        <v>7</v>
      </c>
      <c r="E4" s="20">
        <f t="shared" ref="E4:E27" si="1">D4/425*100</f>
        <v>1.6470588235294119</v>
      </c>
      <c r="F4" s="21">
        <v>22.77</v>
      </c>
      <c r="G4" s="27">
        <v>25.36</v>
      </c>
      <c r="H4" s="23">
        <v>57.65</v>
      </c>
      <c r="I4" s="21">
        <v>58.27</v>
      </c>
      <c r="J4" s="57">
        <v>3.66</v>
      </c>
      <c r="K4" s="57">
        <v>3.8</v>
      </c>
      <c r="L4" s="46">
        <f>K4+0.07</f>
        <v>3.8699999999999997</v>
      </c>
      <c r="M4" s="29" t="s">
        <v>7</v>
      </c>
      <c r="N4" s="39">
        <v>29.847272727272728</v>
      </c>
      <c r="O4" s="29" t="s">
        <v>7</v>
      </c>
      <c r="P4" s="39">
        <v>89.186013270705999</v>
      </c>
      <c r="Q4" s="28"/>
      <c r="R4" s="29" t="s">
        <v>111</v>
      </c>
      <c r="S4" s="30">
        <v>9.0909090909090917</v>
      </c>
      <c r="T4" s="31">
        <v>22.77</v>
      </c>
      <c r="U4" s="111">
        <v>57.65</v>
      </c>
      <c r="V4" s="31">
        <f>SUM(T4:U4)</f>
        <v>80.42</v>
      </c>
      <c r="W4" s="31">
        <f>V4*S4</f>
        <v>731.09090909090912</v>
      </c>
      <c r="X4" s="31">
        <f>W4/2</f>
        <v>365.54545454545456</v>
      </c>
      <c r="Y4" s="32">
        <f>X4/100</f>
        <v>3.6554545454545457</v>
      </c>
      <c r="Z4" s="33"/>
      <c r="AA4" s="110"/>
    </row>
    <row r="5" spans="1:40" x14ac:dyDescent="0.3">
      <c r="A5" s="26" t="s">
        <v>112</v>
      </c>
      <c r="B5" s="18">
        <v>38</v>
      </c>
      <c r="C5" s="19">
        <f t="shared" si="0"/>
        <v>49.350649350649348</v>
      </c>
      <c r="D5" s="18">
        <f>SUM(D6:D8)</f>
        <v>41</v>
      </c>
      <c r="E5" s="20">
        <f t="shared" si="1"/>
        <v>9.6470588235294112</v>
      </c>
      <c r="F5" s="21" t="s">
        <v>104</v>
      </c>
      <c r="G5" s="22" t="s">
        <v>104</v>
      </c>
      <c r="H5" s="23" t="s">
        <v>104</v>
      </c>
      <c r="I5" s="23" t="s">
        <v>104</v>
      </c>
      <c r="J5" s="56">
        <f>SUM(J6:J8)</f>
        <v>27.060000000000002</v>
      </c>
      <c r="K5" s="56">
        <f>SUM(K6:K8)</f>
        <v>31.390000000000004</v>
      </c>
      <c r="L5" s="46">
        <f>SUM(L6:L8)</f>
        <v>31.600000000000005</v>
      </c>
      <c r="M5" s="29" t="s">
        <v>9</v>
      </c>
      <c r="N5" s="39">
        <v>27.874285714285712</v>
      </c>
      <c r="O5" s="29" t="s">
        <v>9</v>
      </c>
      <c r="P5" s="39">
        <v>71.45399502223664</v>
      </c>
      <c r="Q5" s="28"/>
      <c r="R5" s="29" t="s">
        <v>113</v>
      </c>
      <c r="S5" s="30">
        <v>14.285714285714285</v>
      </c>
      <c r="T5" s="31">
        <v>29.85</v>
      </c>
      <c r="U5" s="111">
        <v>89.19</v>
      </c>
      <c r="V5" s="31">
        <f t="shared" ref="V5:V22" si="2">SUM(T5:U5)</f>
        <v>119.03999999999999</v>
      </c>
      <c r="W5" s="31">
        <f t="shared" ref="W5:W22" si="3">V5*S5</f>
        <v>1700.5714285714284</v>
      </c>
      <c r="X5" s="31">
        <f t="shared" ref="X5:X22" si="4">W5/2</f>
        <v>850.28571428571422</v>
      </c>
      <c r="Y5" s="32">
        <f t="shared" ref="Y5:Y22" si="5">X5/100</f>
        <v>8.5028571428571418</v>
      </c>
      <c r="Z5" s="33"/>
      <c r="AA5" s="15"/>
    </row>
    <row r="6" spans="1:40" x14ac:dyDescent="0.3">
      <c r="A6" s="26" t="s">
        <v>114</v>
      </c>
      <c r="B6" s="18">
        <v>11</v>
      </c>
      <c r="C6" s="19">
        <f t="shared" si="0"/>
        <v>14.285714285714285</v>
      </c>
      <c r="D6" s="18">
        <v>11</v>
      </c>
      <c r="E6" s="20">
        <f t="shared" si="1"/>
        <v>2.5882352941176472</v>
      </c>
      <c r="F6" s="21">
        <v>29.85</v>
      </c>
      <c r="G6" s="34">
        <v>47</v>
      </c>
      <c r="H6" s="23">
        <v>89.19</v>
      </c>
      <c r="I6" s="21">
        <v>91.37</v>
      </c>
      <c r="J6" s="57">
        <v>8.5</v>
      </c>
      <c r="K6" s="57">
        <v>9.8800000000000008</v>
      </c>
      <c r="L6" s="46">
        <f t="shared" ref="L6:L23" si="6">K6+0.07</f>
        <v>9.9500000000000011</v>
      </c>
      <c r="M6" s="29" t="s">
        <v>11</v>
      </c>
      <c r="N6" s="39">
        <v>25.709999999999997</v>
      </c>
      <c r="O6" s="29" t="s">
        <v>11</v>
      </c>
      <c r="P6" s="39">
        <v>72.447382602476779</v>
      </c>
      <c r="Q6" s="28"/>
      <c r="R6" s="35" t="s">
        <v>115</v>
      </c>
      <c r="S6" s="30">
        <v>18.181818181818183</v>
      </c>
      <c r="T6" s="31">
        <v>27.52</v>
      </c>
      <c r="U6" s="111">
        <v>71.45</v>
      </c>
      <c r="V6" s="31">
        <f t="shared" si="2"/>
        <v>98.97</v>
      </c>
      <c r="W6" s="31">
        <f t="shared" si="3"/>
        <v>1799.4545454545455</v>
      </c>
      <c r="X6" s="31">
        <f t="shared" si="4"/>
        <v>899.72727272727275</v>
      </c>
      <c r="Y6" s="32">
        <f t="shared" si="5"/>
        <v>8.997272727272728</v>
      </c>
      <c r="Z6" s="36"/>
      <c r="AA6" s="28"/>
    </row>
    <row r="7" spans="1:40" x14ac:dyDescent="0.3">
      <c r="A7" s="35" t="s">
        <v>116</v>
      </c>
      <c r="B7" s="19">
        <v>14</v>
      </c>
      <c r="C7" s="19">
        <f t="shared" si="0"/>
        <v>18.181818181818183</v>
      </c>
      <c r="D7" s="18">
        <v>15</v>
      </c>
      <c r="E7" s="20">
        <f t="shared" si="1"/>
        <v>3.5294117647058822</v>
      </c>
      <c r="F7" s="21">
        <v>27.52</v>
      </c>
      <c r="G7" s="34">
        <v>45.88</v>
      </c>
      <c r="H7" s="23">
        <v>71.45</v>
      </c>
      <c r="I7" s="21">
        <v>74.63</v>
      </c>
      <c r="J7" s="57">
        <v>9</v>
      </c>
      <c r="K7" s="57">
        <v>10.96</v>
      </c>
      <c r="L7" s="46">
        <f t="shared" si="6"/>
        <v>11.030000000000001</v>
      </c>
      <c r="M7" s="29" t="s">
        <v>13</v>
      </c>
      <c r="N7" s="39">
        <v>29.886875000000003</v>
      </c>
      <c r="O7" s="29" t="s">
        <v>13</v>
      </c>
      <c r="P7" s="39">
        <v>20.27127265353095</v>
      </c>
      <c r="Q7" s="28"/>
      <c r="R7" s="35" t="s">
        <v>117</v>
      </c>
      <c r="S7" s="30">
        <v>19.480519480519483</v>
      </c>
      <c r="T7" s="31">
        <v>25.71</v>
      </c>
      <c r="U7" s="111">
        <v>72.45</v>
      </c>
      <c r="V7" s="31">
        <f t="shared" si="2"/>
        <v>98.16</v>
      </c>
      <c r="W7" s="31">
        <f t="shared" si="3"/>
        <v>1912.2077922077924</v>
      </c>
      <c r="X7" s="31">
        <f t="shared" si="4"/>
        <v>956.1038961038962</v>
      </c>
      <c r="Y7" s="32">
        <f t="shared" si="5"/>
        <v>9.5610389610389621</v>
      </c>
      <c r="Z7" s="36"/>
      <c r="AA7" s="28"/>
    </row>
    <row r="8" spans="1:40" x14ac:dyDescent="0.3">
      <c r="A8" s="35" t="s">
        <v>118</v>
      </c>
      <c r="B8" s="19">
        <v>15</v>
      </c>
      <c r="C8" s="19">
        <f t="shared" si="0"/>
        <v>19.480519480519483</v>
      </c>
      <c r="D8" s="18">
        <v>15</v>
      </c>
      <c r="E8" s="20">
        <f t="shared" si="1"/>
        <v>3.5294117647058822</v>
      </c>
      <c r="F8" s="21">
        <v>25.71</v>
      </c>
      <c r="G8" s="34">
        <v>34.08</v>
      </c>
      <c r="H8" s="23">
        <v>72.45</v>
      </c>
      <c r="I8" s="21">
        <v>74.23</v>
      </c>
      <c r="J8" s="57">
        <v>9.56</v>
      </c>
      <c r="K8" s="57">
        <v>10.55</v>
      </c>
      <c r="L8" s="46">
        <f t="shared" si="6"/>
        <v>10.620000000000001</v>
      </c>
      <c r="M8" s="29" t="s">
        <v>15</v>
      </c>
      <c r="N8" s="39">
        <v>29.582857142857147</v>
      </c>
      <c r="O8" s="29" t="s">
        <v>15</v>
      </c>
      <c r="P8" s="39">
        <v>63.997546167701159</v>
      </c>
      <c r="Q8" s="28"/>
      <c r="R8" s="35" t="s">
        <v>119</v>
      </c>
      <c r="S8" s="30">
        <v>62.337662337662337</v>
      </c>
      <c r="T8" s="31">
        <v>29.88</v>
      </c>
      <c r="U8" s="111">
        <v>20.27</v>
      </c>
      <c r="V8" s="31">
        <f t="shared" si="2"/>
        <v>50.15</v>
      </c>
      <c r="W8" s="31">
        <f t="shared" si="3"/>
        <v>3126.2337662337659</v>
      </c>
      <c r="X8" s="31">
        <f t="shared" si="4"/>
        <v>1563.1168831168829</v>
      </c>
      <c r="Y8" s="32">
        <f t="shared" si="5"/>
        <v>15.631168831168829</v>
      </c>
      <c r="Z8" s="36"/>
      <c r="AA8" s="28"/>
    </row>
    <row r="9" spans="1:40" x14ac:dyDescent="0.3">
      <c r="A9" s="17" t="s">
        <v>120</v>
      </c>
      <c r="B9" s="18">
        <v>48</v>
      </c>
      <c r="C9" s="19">
        <f t="shared" si="0"/>
        <v>62.337662337662337</v>
      </c>
      <c r="D9" s="18">
        <v>59</v>
      </c>
      <c r="E9" s="20">
        <f t="shared" si="1"/>
        <v>13.882352941176471</v>
      </c>
      <c r="F9" s="18" t="s">
        <v>104</v>
      </c>
      <c r="G9" s="23" t="s">
        <v>104</v>
      </c>
      <c r="H9" s="23" t="s">
        <v>104</v>
      </c>
      <c r="I9" s="23" t="s">
        <v>104</v>
      </c>
      <c r="J9" s="56">
        <v>15.63</v>
      </c>
      <c r="K9" s="56">
        <v>18.78</v>
      </c>
      <c r="L9" s="121">
        <v>18.78</v>
      </c>
      <c r="M9" s="29" t="s">
        <v>17</v>
      </c>
      <c r="N9" s="39">
        <v>26.511428571428571</v>
      </c>
      <c r="O9" s="29" t="s">
        <v>17</v>
      </c>
      <c r="P9" s="39">
        <v>29.714899805524372</v>
      </c>
      <c r="Q9" s="28"/>
      <c r="R9" s="29" t="s">
        <v>15</v>
      </c>
      <c r="S9" s="30">
        <v>54.54545454545454</v>
      </c>
      <c r="T9" s="31">
        <v>29.58</v>
      </c>
      <c r="U9" s="111">
        <v>64</v>
      </c>
      <c r="V9" s="31">
        <f t="shared" si="2"/>
        <v>93.58</v>
      </c>
      <c r="W9" s="31">
        <f t="shared" si="3"/>
        <v>5104.363636363636</v>
      </c>
      <c r="X9" s="31">
        <f t="shared" si="4"/>
        <v>2552.181818181818</v>
      </c>
      <c r="Y9" s="32">
        <f t="shared" si="5"/>
        <v>25.52181818181818</v>
      </c>
      <c r="Z9" s="33"/>
      <c r="AA9" s="28"/>
    </row>
    <row r="10" spans="1:40" x14ac:dyDescent="0.3">
      <c r="A10" s="17" t="s">
        <v>121</v>
      </c>
      <c r="B10" s="18">
        <v>48</v>
      </c>
      <c r="C10" s="19">
        <f t="shared" si="0"/>
        <v>62.337662337662337</v>
      </c>
      <c r="D10" s="18">
        <v>59</v>
      </c>
      <c r="E10" s="20">
        <f t="shared" si="1"/>
        <v>13.882352941176471</v>
      </c>
      <c r="F10" s="21">
        <v>29.88</v>
      </c>
      <c r="G10" s="22">
        <v>39.15</v>
      </c>
      <c r="H10" s="23">
        <v>20.27</v>
      </c>
      <c r="I10" s="23">
        <v>21.09</v>
      </c>
      <c r="J10" s="57">
        <v>15.63</v>
      </c>
      <c r="K10" s="57">
        <v>18.78</v>
      </c>
      <c r="L10" s="46">
        <f t="shared" si="6"/>
        <v>18.850000000000001</v>
      </c>
      <c r="M10" s="29" t="s">
        <v>19</v>
      </c>
      <c r="N10" s="39">
        <v>44.446666666666665</v>
      </c>
      <c r="O10" s="29" t="s">
        <v>19</v>
      </c>
      <c r="P10" s="39">
        <v>30.822994210090982</v>
      </c>
      <c r="Q10" s="28"/>
      <c r="R10" s="29" t="s">
        <v>19</v>
      </c>
      <c r="S10" s="30">
        <v>3.8961038961038961</v>
      </c>
      <c r="T10" s="31">
        <v>44.45</v>
      </c>
      <c r="U10" s="111">
        <v>30.82</v>
      </c>
      <c r="V10" s="31">
        <f t="shared" si="2"/>
        <v>75.27000000000001</v>
      </c>
      <c r="W10" s="31">
        <f t="shared" si="3"/>
        <v>293.25974025974028</v>
      </c>
      <c r="X10" s="31">
        <f t="shared" si="4"/>
        <v>146.62987012987014</v>
      </c>
      <c r="Y10" s="32">
        <f t="shared" si="5"/>
        <v>1.4662987012987014</v>
      </c>
      <c r="Z10" s="33"/>
      <c r="AA10" s="28"/>
    </row>
    <row r="11" spans="1:40" x14ac:dyDescent="0.3">
      <c r="A11" s="17" t="s">
        <v>15</v>
      </c>
      <c r="B11" s="18">
        <v>42</v>
      </c>
      <c r="C11" s="19">
        <f t="shared" si="0"/>
        <v>54.54545454545454</v>
      </c>
      <c r="D11" s="18">
        <v>44</v>
      </c>
      <c r="E11" s="20">
        <f t="shared" si="1"/>
        <v>10.352941176470589</v>
      </c>
      <c r="F11" s="21">
        <v>29.58</v>
      </c>
      <c r="G11" s="22">
        <v>39.15</v>
      </c>
      <c r="H11" s="23">
        <v>64</v>
      </c>
      <c r="I11" s="23">
        <v>65.48</v>
      </c>
      <c r="J11" s="56">
        <v>25.52</v>
      </c>
      <c r="K11" s="56">
        <v>28.54</v>
      </c>
      <c r="L11" s="121">
        <f t="shared" si="6"/>
        <v>28.61</v>
      </c>
      <c r="M11" s="29" t="s">
        <v>21</v>
      </c>
      <c r="N11" s="39">
        <v>12.5</v>
      </c>
      <c r="O11" s="29" t="s">
        <v>21</v>
      </c>
      <c r="P11" s="39">
        <v>0.15479876160990708</v>
      </c>
      <c r="Q11" s="28"/>
      <c r="R11" s="29" t="s">
        <v>122</v>
      </c>
      <c r="S11" s="30">
        <v>1.2987012987012987</v>
      </c>
      <c r="T11" s="31">
        <v>12.5</v>
      </c>
      <c r="U11" s="111">
        <v>0.15</v>
      </c>
      <c r="V11" s="31">
        <f t="shared" si="2"/>
        <v>12.65</v>
      </c>
      <c r="W11" s="31">
        <f t="shared" si="3"/>
        <v>16.428571428571431</v>
      </c>
      <c r="X11" s="31">
        <f t="shared" si="4"/>
        <v>8.2142857142857153</v>
      </c>
      <c r="Y11" s="32">
        <f t="shared" si="5"/>
        <v>8.2142857142857156E-2</v>
      </c>
      <c r="Z11" s="33"/>
      <c r="AA11" s="28"/>
    </row>
    <row r="12" spans="1:40" x14ac:dyDescent="0.3">
      <c r="A12" s="17" t="s">
        <v>19</v>
      </c>
      <c r="B12" s="18">
        <v>3</v>
      </c>
      <c r="C12" s="19">
        <f t="shared" si="0"/>
        <v>3.8961038961038961</v>
      </c>
      <c r="D12" s="18">
        <v>4</v>
      </c>
      <c r="E12" s="20">
        <f t="shared" si="1"/>
        <v>0.94117647058823517</v>
      </c>
      <c r="F12" s="21">
        <v>44.45</v>
      </c>
      <c r="G12" s="22">
        <v>45.56</v>
      </c>
      <c r="H12" s="23">
        <v>30.82</v>
      </c>
      <c r="I12" s="23">
        <v>53.99</v>
      </c>
      <c r="J12" s="57">
        <v>1.47</v>
      </c>
      <c r="K12" s="57">
        <v>1.94</v>
      </c>
      <c r="L12" s="121">
        <f t="shared" si="6"/>
        <v>2.0099999999999998</v>
      </c>
      <c r="M12" s="29" t="s">
        <v>23</v>
      </c>
      <c r="N12" s="39">
        <v>28.703333333333333</v>
      </c>
      <c r="O12" s="29" t="s">
        <v>23</v>
      </c>
      <c r="P12" s="39">
        <v>1.3965798980205326</v>
      </c>
      <c r="Q12" s="28"/>
      <c r="R12" s="29" t="s">
        <v>23</v>
      </c>
      <c r="S12" s="30">
        <v>3.8961038961038961</v>
      </c>
      <c r="T12" s="31">
        <v>28.7</v>
      </c>
      <c r="U12" s="111">
        <v>1.4</v>
      </c>
      <c r="V12" s="31">
        <f t="shared" si="2"/>
        <v>30.099999999999998</v>
      </c>
      <c r="W12" s="31">
        <f t="shared" si="3"/>
        <v>117.27272727272727</v>
      </c>
      <c r="X12" s="31">
        <f t="shared" si="4"/>
        <v>58.636363636363633</v>
      </c>
      <c r="Y12" s="32">
        <f t="shared" si="5"/>
        <v>0.58636363636363631</v>
      </c>
      <c r="Z12" s="33"/>
      <c r="AA12" s="28"/>
    </row>
    <row r="13" spans="1:40" x14ac:dyDescent="0.3">
      <c r="A13" s="17" t="s">
        <v>122</v>
      </c>
      <c r="B13" s="18">
        <v>1</v>
      </c>
      <c r="C13" s="19">
        <f t="shared" si="0"/>
        <v>1.2987012987012987</v>
      </c>
      <c r="D13" s="18">
        <v>1</v>
      </c>
      <c r="E13" s="20">
        <f t="shared" si="1"/>
        <v>0.23529411764705879</v>
      </c>
      <c r="F13" s="21">
        <v>12.5</v>
      </c>
      <c r="G13" s="22">
        <v>14.29</v>
      </c>
      <c r="H13" s="23">
        <v>0.15</v>
      </c>
      <c r="I13" s="23">
        <v>0.16</v>
      </c>
      <c r="J13" s="57">
        <v>0.08</v>
      </c>
      <c r="K13" s="57">
        <v>0.09</v>
      </c>
      <c r="L13" s="121">
        <f t="shared" si="6"/>
        <v>0.16</v>
      </c>
      <c r="M13" s="29" t="s">
        <v>25</v>
      </c>
      <c r="N13" s="39">
        <v>31.262999999999998</v>
      </c>
      <c r="O13" s="29" t="s">
        <v>25</v>
      </c>
      <c r="P13" s="39">
        <v>2.9320941345864333</v>
      </c>
      <c r="Q13" s="28"/>
      <c r="R13" s="29" t="s">
        <v>17</v>
      </c>
      <c r="S13" s="30">
        <v>9.0909090909090917</v>
      </c>
      <c r="T13" s="31">
        <v>26.51</v>
      </c>
      <c r="U13" s="111">
        <v>29.71</v>
      </c>
      <c r="V13" s="31">
        <f t="shared" si="2"/>
        <v>56.22</v>
      </c>
      <c r="W13" s="31">
        <f t="shared" si="3"/>
        <v>511.09090909090912</v>
      </c>
      <c r="X13" s="31">
        <f t="shared" si="4"/>
        <v>255.54545454545456</v>
      </c>
      <c r="Y13" s="32">
        <f t="shared" si="5"/>
        <v>2.5554545454545456</v>
      </c>
      <c r="Z13" s="33"/>
      <c r="AA13" s="28"/>
    </row>
    <row r="14" spans="1:40" x14ac:dyDescent="0.3">
      <c r="A14" s="17" t="s">
        <v>23</v>
      </c>
      <c r="B14" s="18">
        <v>3</v>
      </c>
      <c r="C14" s="19">
        <f t="shared" si="0"/>
        <v>3.8961038961038961</v>
      </c>
      <c r="D14" s="18">
        <v>6</v>
      </c>
      <c r="E14" s="20">
        <f t="shared" si="1"/>
        <v>1.411764705882353</v>
      </c>
      <c r="F14" s="21">
        <v>28.7</v>
      </c>
      <c r="G14" s="22">
        <v>34.33</v>
      </c>
      <c r="H14" s="23">
        <v>1.4</v>
      </c>
      <c r="I14" s="23">
        <v>1.58</v>
      </c>
      <c r="J14" s="57">
        <v>0.59</v>
      </c>
      <c r="K14" s="57">
        <v>0.7</v>
      </c>
      <c r="L14" s="121">
        <f t="shared" si="6"/>
        <v>0.77</v>
      </c>
      <c r="M14" s="29" t="s">
        <v>27</v>
      </c>
      <c r="N14" s="39">
        <v>52.464347826086957</v>
      </c>
      <c r="O14" s="29" t="s">
        <v>27</v>
      </c>
      <c r="P14" s="39">
        <v>2.9456062942739454</v>
      </c>
      <c r="Q14" s="28"/>
      <c r="R14" s="29" t="s">
        <v>31</v>
      </c>
      <c r="S14" s="30">
        <v>1.2987012987012987</v>
      </c>
      <c r="T14" s="31">
        <v>14.28</v>
      </c>
      <c r="U14" s="111">
        <v>2.2999999999999998</v>
      </c>
      <c r="V14" s="31">
        <f t="shared" si="2"/>
        <v>16.579999999999998</v>
      </c>
      <c r="W14" s="31">
        <f t="shared" si="3"/>
        <v>21.532467532467528</v>
      </c>
      <c r="X14" s="31">
        <f t="shared" si="4"/>
        <v>10.766233766233764</v>
      </c>
      <c r="Y14" s="32">
        <f t="shared" si="5"/>
        <v>0.10766233766233764</v>
      </c>
      <c r="Z14" s="33"/>
      <c r="AA14" s="28"/>
    </row>
    <row r="15" spans="1:40" x14ac:dyDescent="0.3">
      <c r="A15" s="17" t="s">
        <v>123</v>
      </c>
      <c r="B15" s="18">
        <v>37</v>
      </c>
      <c r="C15" s="19">
        <f t="shared" si="0"/>
        <v>48.051948051948052</v>
      </c>
      <c r="D15" s="18">
        <f>SUM(D16:D18)</f>
        <v>105</v>
      </c>
      <c r="E15" s="20">
        <f t="shared" si="1"/>
        <v>24.705882352941178</v>
      </c>
      <c r="F15" s="18" t="s">
        <v>104</v>
      </c>
      <c r="G15" s="23" t="s">
        <v>104</v>
      </c>
      <c r="H15" s="23" t="s">
        <v>104</v>
      </c>
      <c r="I15" s="23" t="s">
        <v>104</v>
      </c>
      <c r="J15" s="57">
        <f>SUM(J16:J18)</f>
        <v>11.1</v>
      </c>
      <c r="K15" s="57">
        <f>SUM(K16:K18)</f>
        <v>13.499999999999998</v>
      </c>
      <c r="L15" s="121">
        <f>SUM(L16:L17,L19:L23)</f>
        <v>13.99</v>
      </c>
      <c r="M15" s="29" t="s">
        <v>29</v>
      </c>
      <c r="N15" s="39">
        <v>24.261764705882353</v>
      </c>
      <c r="O15" s="29" t="s">
        <v>29</v>
      </c>
      <c r="P15" s="39">
        <v>5.1320040425037545</v>
      </c>
      <c r="Q15" s="28"/>
      <c r="R15" s="29" t="s">
        <v>33</v>
      </c>
      <c r="S15" s="30">
        <v>6.4935064935064926</v>
      </c>
      <c r="T15" s="31">
        <v>21.17</v>
      </c>
      <c r="U15" s="111">
        <v>0.54</v>
      </c>
      <c r="V15" s="31">
        <f t="shared" si="2"/>
        <v>21.71</v>
      </c>
      <c r="W15" s="31">
        <f t="shared" si="3"/>
        <v>140.97402597402595</v>
      </c>
      <c r="X15" s="31">
        <f t="shared" si="4"/>
        <v>70.487012987012974</v>
      </c>
      <c r="Y15" s="32">
        <f t="shared" si="5"/>
        <v>0.70487012987012976</v>
      </c>
      <c r="Z15" s="33"/>
      <c r="AA15" s="28"/>
    </row>
    <row r="16" spans="1:40" x14ac:dyDescent="0.3">
      <c r="A16" s="26" t="s">
        <v>124</v>
      </c>
      <c r="B16" s="18">
        <v>7</v>
      </c>
      <c r="C16" s="19">
        <f>B16/77*100</f>
        <v>9.0909090909090917</v>
      </c>
      <c r="D16" s="18">
        <v>7</v>
      </c>
      <c r="E16" s="20">
        <f t="shared" si="1"/>
        <v>1.6470588235294119</v>
      </c>
      <c r="F16" s="21">
        <v>26.51</v>
      </c>
      <c r="G16" s="22">
        <v>37.03</v>
      </c>
      <c r="H16" s="23">
        <v>29.71</v>
      </c>
      <c r="I16" s="23">
        <v>24.62</v>
      </c>
      <c r="J16" s="57">
        <v>2.56</v>
      </c>
      <c r="K16" s="57">
        <v>2.8</v>
      </c>
      <c r="L16" s="46">
        <f t="shared" si="6"/>
        <v>2.8699999999999997</v>
      </c>
      <c r="M16" s="29" t="s">
        <v>31</v>
      </c>
      <c r="N16" s="39">
        <v>14.28</v>
      </c>
      <c r="O16" s="29" t="s">
        <v>31</v>
      </c>
      <c r="P16" s="39">
        <v>2.2952625780389275</v>
      </c>
      <c r="Q16" s="28"/>
      <c r="R16" s="29" t="s">
        <v>37</v>
      </c>
      <c r="S16" s="30">
        <v>28.571428571428569</v>
      </c>
      <c r="T16" s="31">
        <v>40.369999999999997</v>
      </c>
      <c r="U16" s="111">
        <v>0.59</v>
      </c>
      <c r="V16" s="31">
        <f t="shared" si="2"/>
        <v>40.96</v>
      </c>
      <c r="W16" s="31">
        <f t="shared" si="3"/>
        <v>1170.2857142857142</v>
      </c>
      <c r="X16" s="31">
        <f t="shared" si="4"/>
        <v>585.14285714285711</v>
      </c>
      <c r="Y16" s="32">
        <f t="shared" si="5"/>
        <v>5.8514285714285714</v>
      </c>
      <c r="Z16" s="33"/>
      <c r="AA16" s="28"/>
    </row>
    <row r="17" spans="1:28" x14ac:dyDescent="0.3">
      <c r="A17" s="17" t="s">
        <v>125</v>
      </c>
      <c r="B17" s="18">
        <v>1</v>
      </c>
      <c r="C17" s="19">
        <f t="shared" si="0"/>
        <v>1.2987012987012987</v>
      </c>
      <c r="D17" s="18">
        <v>1</v>
      </c>
      <c r="E17" s="20">
        <f t="shared" si="1"/>
        <v>0.23529411764705879</v>
      </c>
      <c r="F17" s="21">
        <v>14.28</v>
      </c>
      <c r="G17" s="22">
        <v>20</v>
      </c>
      <c r="H17" s="23">
        <v>2.2999999999999998</v>
      </c>
      <c r="I17" s="23">
        <v>2.3199999999999998</v>
      </c>
      <c r="J17" s="57">
        <v>0.11</v>
      </c>
      <c r="K17" s="57">
        <v>0.14000000000000001</v>
      </c>
      <c r="L17" s="46">
        <f t="shared" si="6"/>
        <v>0.21000000000000002</v>
      </c>
      <c r="M17" s="29" t="s">
        <v>33</v>
      </c>
      <c r="N17" s="39">
        <v>21.166</v>
      </c>
      <c r="O17" s="29" t="s">
        <v>33</v>
      </c>
      <c r="P17" s="39">
        <v>0.54235301102353961</v>
      </c>
      <c r="Q17" s="28"/>
      <c r="R17" s="29" t="s">
        <v>126</v>
      </c>
      <c r="S17" s="30">
        <v>3.8961038961038961</v>
      </c>
      <c r="T17" s="31">
        <v>38.89</v>
      </c>
      <c r="U17" s="111">
        <v>27.46</v>
      </c>
      <c r="V17" s="31">
        <f t="shared" si="2"/>
        <v>66.349999999999994</v>
      </c>
      <c r="W17" s="31">
        <f t="shared" si="3"/>
        <v>258.50649350649348</v>
      </c>
      <c r="X17" s="31">
        <f t="shared" si="4"/>
        <v>129.25324675324674</v>
      </c>
      <c r="Y17" s="32">
        <f t="shared" si="5"/>
        <v>1.2925324675324674</v>
      </c>
      <c r="Z17" s="33"/>
      <c r="AA17" s="28"/>
    </row>
    <row r="18" spans="1:28" x14ac:dyDescent="0.3">
      <c r="A18" s="26" t="s">
        <v>127</v>
      </c>
      <c r="B18" s="18">
        <v>30</v>
      </c>
      <c r="C18" s="19">
        <f t="shared" si="0"/>
        <v>38.961038961038966</v>
      </c>
      <c r="D18" s="18">
        <f>SUM(D19:D23)</f>
        <v>97</v>
      </c>
      <c r="E18" s="20">
        <f t="shared" si="1"/>
        <v>22.823529411764707</v>
      </c>
      <c r="F18" s="18" t="s">
        <v>104</v>
      </c>
      <c r="G18" s="23" t="s">
        <v>104</v>
      </c>
      <c r="H18" s="23" t="s">
        <v>104</v>
      </c>
      <c r="I18" s="23" t="s">
        <v>104</v>
      </c>
      <c r="J18" s="56">
        <f>SUM(J19:J23)</f>
        <v>8.43</v>
      </c>
      <c r="K18" s="56">
        <f>SUM(K19:K23)</f>
        <v>10.559999999999999</v>
      </c>
      <c r="L18" s="46">
        <f>SUM(L19:L23)</f>
        <v>10.91</v>
      </c>
      <c r="M18" s="29" t="s">
        <v>35</v>
      </c>
      <c r="N18" s="39">
        <v>38.886666666666663</v>
      </c>
      <c r="O18" s="29" t="s">
        <v>35</v>
      </c>
      <c r="P18" s="39">
        <v>27.458196600030846</v>
      </c>
      <c r="Q18" s="28"/>
      <c r="R18" s="29" t="s">
        <v>128</v>
      </c>
      <c r="S18" s="30">
        <v>1.2987012987012987</v>
      </c>
      <c r="T18" s="31">
        <v>22.22</v>
      </c>
      <c r="U18" s="111">
        <v>18.21</v>
      </c>
      <c r="V18" s="31">
        <f t="shared" si="2"/>
        <v>40.43</v>
      </c>
      <c r="W18" s="31">
        <f t="shared" si="3"/>
        <v>52.506493506493506</v>
      </c>
      <c r="X18" s="31">
        <f t="shared" si="4"/>
        <v>26.253246753246753</v>
      </c>
      <c r="Y18" s="32">
        <f t="shared" si="5"/>
        <v>0.26253246753246751</v>
      </c>
      <c r="Z18" s="33"/>
      <c r="AA18" s="28"/>
    </row>
    <row r="19" spans="1:28" x14ac:dyDescent="0.3">
      <c r="A19" s="17" t="s">
        <v>129</v>
      </c>
      <c r="B19" s="18">
        <v>5</v>
      </c>
      <c r="C19" s="19">
        <f t="shared" si="0"/>
        <v>6.4935064935064926</v>
      </c>
      <c r="D19" s="18">
        <v>5</v>
      </c>
      <c r="E19" s="20">
        <f t="shared" si="1"/>
        <v>1.1764705882352942</v>
      </c>
      <c r="F19" s="21">
        <v>21.17</v>
      </c>
      <c r="G19" s="22">
        <v>34.93</v>
      </c>
      <c r="H19" s="23">
        <v>0.54</v>
      </c>
      <c r="I19" s="23">
        <v>0.56000000000000005</v>
      </c>
      <c r="J19" s="57">
        <v>0.7</v>
      </c>
      <c r="K19" s="57">
        <v>1.1499999999999999</v>
      </c>
      <c r="L19" s="46">
        <f t="shared" si="6"/>
        <v>1.22</v>
      </c>
      <c r="M19" s="29" t="s">
        <v>37</v>
      </c>
      <c r="N19" s="39">
        <v>40.376363636363642</v>
      </c>
      <c r="O19" s="29" t="s">
        <v>37</v>
      </c>
      <c r="P19" s="39">
        <v>0.59145806467192918</v>
      </c>
      <c r="Q19" s="28"/>
      <c r="R19" s="29" t="s">
        <v>41</v>
      </c>
      <c r="S19" s="30">
        <v>1.2987012987012987</v>
      </c>
      <c r="T19" s="31">
        <v>50</v>
      </c>
      <c r="U19" s="111">
        <v>0.64</v>
      </c>
      <c r="V19" s="31">
        <f t="shared" si="2"/>
        <v>50.64</v>
      </c>
      <c r="W19" s="31">
        <f t="shared" si="3"/>
        <v>65.766233766233768</v>
      </c>
      <c r="X19" s="31">
        <f t="shared" si="4"/>
        <v>32.883116883116884</v>
      </c>
      <c r="Y19" s="32">
        <f t="shared" si="5"/>
        <v>0.32883116883116886</v>
      </c>
      <c r="Z19" s="33"/>
      <c r="AA19" s="28"/>
    </row>
    <row r="20" spans="1:28" x14ac:dyDescent="0.3">
      <c r="A20" s="17" t="s">
        <v>130</v>
      </c>
      <c r="B20" s="18">
        <v>22</v>
      </c>
      <c r="C20" s="19">
        <f t="shared" si="0"/>
        <v>28.571428571428569</v>
      </c>
      <c r="D20" s="18">
        <v>82</v>
      </c>
      <c r="E20" s="20">
        <f t="shared" si="1"/>
        <v>19.294117647058822</v>
      </c>
      <c r="F20" s="21">
        <v>40.369999999999997</v>
      </c>
      <c r="G20" s="22">
        <v>50.25</v>
      </c>
      <c r="H20" s="23">
        <v>0.59</v>
      </c>
      <c r="I20" s="23">
        <v>0.66</v>
      </c>
      <c r="J20" s="57">
        <v>5.85</v>
      </c>
      <c r="K20" s="57">
        <v>7.27</v>
      </c>
      <c r="L20" s="46">
        <f t="shared" si="6"/>
        <v>7.34</v>
      </c>
      <c r="M20" s="29" t="s">
        <v>39</v>
      </c>
      <c r="N20" s="39">
        <v>22.22</v>
      </c>
      <c r="O20" s="29" t="s">
        <v>39</v>
      </c>
      <c r="P20" s="39">
        <v>18.214936247723131</v>
      </c>
      <c r="Q20" s="28"/>
      <c r="R20" s="29" t="s">
        <v>25</v>
      </c>
      <c r="S20" s="30">
        <v>25.97402597402597</v>
      </c>
      <c r="T20" s="31">
        <v>31.26</v>
      </c>
      <c r="U20" s="111">
        <v>2.93</v>
      </c>
      <c r="V20" s="31">
        <f t="shared" si="2"/>
        <v>34.190000000000005</v>
      </c>
      <c r="W20" s="31">
        <f t="shared" si="3"/>
        <v>888.0519480519481</v>
      </c>
      <c r="X20" s="31">
        <f t="shared" si="4"/>
        <v>444.02597402597405</v>
      </c>
      <c r="Y20" s="32">
        <f t="shared" si="5"/>
        <v>4.4402597402597408</v>
      </c>
      <c r="Z20" s="33"/>
      <c r="AA20" s="28"/>
    </row>
    <row r="21" spans="1:28" x14ac:dyDescent="0.3">
      <c r="A21" s="26" t="s">
        <v>131</v>
      </c>
      <c r="B21" s="18">
        <v>3</v>
      </c>
      <c r="C21" s="19">
        <f t="shared" si="0"/>
        <v>3.8961038961038961</v>
      </c>
      <c r="D21" s="18">
        <v>7</v>
      </c>
      <c r="E21" s="20">
        <f t="shared" si="1"/>
        <v>1.6470588235294119</v>
      </c>
      <c r="F21" s="21">
        <v>38.89</v>
      </c>
      <c r="G21" s="22">
        <v>48.61</v>
      </c>
      <c r="H21" s="23">
        <v>27.46</v>
      </c>
      <c r="I21" s="23">
        <v>29.27</v>
      </c>
      <c r="J21" s="57">
        <v>1.29</v>
      </c>
      <c r="K21" s="57">
        <v>1.52</v>
      </c>
      <c r="L21" s="46">
        <f t="shared" si="6"/>
        <v>1.59</v>
      </c>
      <c r="M21" s="29" t="s">
        <v>41</v>
      </c>
      <c r="N21" s="39">
        <v>50</v>
      </c>
      <c r="O21" s="29" t="s">
        <v>41</v>
      </c>
      <c r="P21" s="39">
        <v>0.63694267515923564</v>
      </c>
      <c r="Q21" s="28"/>
      <c r="R21" s="29" t="s">
        <v>27</v>
      </c>
      <c r="S21" s="30">
        <v>29.870129870129869</v>
      </c>
      <c r="T21" s="31">
        <v>52.46</v>
      </c>
      <c r="U21" s="111">
        <v>2.95</v>
      </c>
      <c r="V21" s="31">
        <f t="shared" si="2"/>
        <v>55.410000000000004</v>
      </c>
      <c r="W21" s="31">
        <f t="shared" si="3"/>
        <v>1655.1038961038962</v>
      </c>
      <c r="X21" s="31">
        <f t="shared" si="4"/>
        <v>827.5519480519481</v>
      </c>
      <c r="Y21" s="32">
        <f>X21/100</f>
        <v>8.2755194805194812</v>
      </c>
      <c r="Z21" s="33"/>
      <c r="AA21" s="28"/>
      <c r="AB21" t="s">
        <v>132</v>
      </c>
    </row>
    <row r="22" spans="1:28" x14ac:dyDescent="0.3">
      <c r="A22" s="17" t="s">
        <v>133</v>
      </c>
      <c r="B22" s="18">
        <v>1</v>
      </c>
      <c r="C22" s="19">
        <f t="shared" si="0"/>
        <v>1.2987012987012987</v>
      </c>
      <c r="D22" s="18">
        <v>2</v>
      </c>
      <c r="E22" s="20">
        <f t="shared" si="1"/>
        <v>0.47058823529411759</v>
      </c>
      <c r="F22" s="21">
        <v>22.22</v>
      </c>
      <c r="G22" s="22">
        <v>25</v>
      </c>
      <c r="H22" s="23">
        <v>18.21</v>
      </c>
      <c r="I22" s="23">
        <v>19.55</v>
      </c>
      <c r="J22" s="57">
        <v>0.26</v>
      </c>
      <c r="K22" s="57">
        <v>0.28999999999999998</v>
      </c>
      <c r="L22" s="46">
        <f t="shared" si="6"/>
        <v>0.36</v>
      </c>
      <c r="M22" s="28"/>
      <c r="N22" s="28"/>
      <c r="O22" s="28"/>
      <c r="P22" s="28"/>
      <c r="Q22" s="28"/>
      <c r="R22" s="29" t="s">
        <v>29</v>
      </c>
      <c r="S22" s="30">
        <v>22.077922077922079</v>
      </c>
      <c r="T22" s="31">
        <v>27.01</v>
      </c>
      <c r="U22" s="111">
        <v>5.13</v>
      </c>
      <c r="V22" s="31">
        <f t="shared" si="2"/>
        <v>32.14</v>
      </c>
      <c r="W22" s="31">
        <f t="shared" si="3"/>
        <v>709.58441558441564</v>
      </c>
      <c r="X22" s="31">
        <f t="shared" si="4"/>
        <v>354.79220779220782</v>
      </c>
      <c r="Y22" s="32">
        <f t="shared" si="5"/>
        <v>3.5479220779220784</v>
      </c>
      <c r="Z22" s="33"/>
      <c r="AA22" s="28"/>
    </row>
    <row r="23" spans="1:28" ht="18.600000000000001" x14ac:dyDescent="0.3">
      <c r="A23" s="17" t="s">
        <v>134</v>
      </c>
      <c r="B23" s="18">
        <v>1</v>
      </c>
      <c r="C23" s="19">
        <f t="shared" si="0"/>
        <v>1.2987012987012987</v>
      </c>
      <c r="D23" s="18">
        <v>1</v>
      </c>
      <c r="E23" s="20">
        <f t="shared" si="1"/>
        <v>0.23529411764705879</v>
      </c>
      <c r="F23" s="21">
        <v>50</v>
      </c>
      <c r="G23" s="22">
        <v>50</v>
      </c>
      <c r="H23" s="23">
        <v>0.64</v>
      </c>
      <c r="I23" s="23">
        <v>0.64</v>
      </c>
      <c r="J23" s="57">
        <v>0.33</v>
      </c>
      <c r="K23" s="57">
        <v>0.33</v>
      </c>
      <c r="L23" s="46">
        <f t="shared" si="6"/>
        <v>0.4</v>
      </c>
      <c r="M23" s="138" t="s">
        <v>90</v>
      </c>
      <c r="N23" s="139"/>
      <c r="O23" s="140" t="s">
        <v>91</v>
      </c>
      <c r="P23" s="141"/>
      <c r="Q23" s="16"/>
      <c r="R23" s="109"/>
      <c r="S23" s="16"/>
      <c r="T23" s="16"/>
      <c r="U23" s="16"/>
      <c r="V23" s="16"/>
      <c r="W23" s="15"/>
      <c r="X23" s="15"/>
      <c r="Y23" s="16"/>
      <c r="Z23" s="15"/>
      <c r="AA23" s="28"/>
    </row>
    <row r="24" spans="1:28" x14ac:dyDescent="0.3">
      <c r="A24" s="17" t="s">
        <v>135</v>
      </c>
      <c r="B24" s="18">
        <v>56</v>
      </c>
      <c r="C24" s="19">
        <f t="shared" si="0"/>
        <v>72.727272727272734</v>
      </c>
      <c r="D24" s="18">
        <f>SUM(D25:D27)</f>
        <v>158</v>
      </c>
      <c r="E24" s="20">
        <f t="shared" si="1"/>
        <v>37.176470588235297</v>
      </c>
      <c r="F24" s="18" t="s">
        <v>104</v>
      </c>
      <c r="G24" s="23" t="s">
        <v>104</v>
      </c>
      <c r="H24" s="23" t="s">
        <v>104</v>
      </c>
      <c r="I24" s="23" t="s">
        <v>104</v>
      </c>
      <c r="J24" s="56">
        <f>SUM(J25:J27)</f>
        <v>16.27</v>
      </c>
      <c r="K24" s="18" t="s">
        <v>136</v>
      </c>
      <c r="L24" s="16"/>
      <c r="M24" s="49" t="s">
        <v>85</v>
      </c>
      <c r="N24" s="49" t="s">
        <v>86</v>
      </c>
      <c r="O24" s="50" t="s">
        <v>85</v>
      </c>
      <c r="P24" s="50" t="s">
        <v>86</v>
      </c>
      <c r="Q24" s="16"/>
      <c r="R24" s="24" t="s">
        <v>85</v>
      </c>
      <c r="S24" s="25" t="s">
        <v>99</v>
      </c>
      <c r="T24" s="25" t="s">
        <v>105</v>
      </c>
      <c r="U24" s="25" t="s">
        <v>84</v>
      </c>
      <c r="V24" s="25" t="s">
        <v>106</v>
      </c>
      <c r="W24" s="25" t="s">
        <v>107</v>
      </c>
      <c r="X24" s="25" t="s">
        <v>108</v>
      </c>
      <c r="Y24" s="123" t="s">
        <v>109</v>
      </c>
      <c r="Z24" s="42"/>
      <c r="AA24" s="124"/>
      <c r="AB24" s="125"/>
    </row>
    <row r="25" spans="1:28" x14ac:dyDescent="0.3">
      <c r="A25" s="26" t="s">
        <v>137</v>
      </c>
      <c r="B25" s="18">
        <v>20</v>
      </c>
      <c r="C25" s="19">
        <f t="shared" si="0"/>
        <v>25.97402597402597</v>
      </c>
      <c r="D25" s="18">
        <v>22</v>
      </c>
      <c r="E25" s="20">
        <f t="shared" si="1"/>
        <v>5.1764705882352944</v>
      </c>
      <c r="F25" s="21">
        <v>31.26</v>
      </c>
      <c r="G25" s="22" t="s">
        <v>104</v>
      </c>
      <c r="H25" s="23">
        <v>2.93</v>
      </c>
      <c r="I25" s="23" t="s">
        <v>104</v>
      </c>
      <c r="J25" s="57">
        <v>4.4400000000000004</v>
      </c>
      <c r="K25" s="18" t="s">
        <v>136</v>
      </c>
      <c r="L25" s="122">
        <f>SUM(L11:L15,L9,L3)</f>
        <v>99.789999999999992</v>
      </c>
      <c r="M25" s="111" t="s">
        <v>5</v>
      </c>
      <c r="N25" s="51">
        <v>25.36</v>
      </c>
      <c r="O25" s="111" t="s">
        <v>5</v>
      </c>
      <c r="P25" s="39">
        <v>58.27</v>
      </c>
      <c r="Q25" s="16"/>
      <c r="R25" s="29" t="s">
        <v>5</v>
      </c>
      <c r="S25" s="30">
        <v>9.0909090909090917</v>
      </c>
      <c r="T25" s="37">
        <v>25.36</v>
      </c>
      <c r="U25" s="31">
        <v>58.27</v>
      </c>
      <c r="V25" s="38">
        <f>SUM(T25:U25)</f>
        <v>83.63</v>
      </c>
      <c r="W25" s="39">
        <f>V25*S25</f>
        <v>760.27272727272725</v>
      </c>
      <c r="X25" s="39">
        <f>W25/2</f>
        <v>380.13636363636363</v>
      </c>
      <c r="Y25" s="32">
        <f>X25/100</f>
        <v>3.8013636363636363</v>
      </c>
      <c r="Z25" s="16"/>
      <c r="AA25" s="124"/>
      <c r="AB25" s="125"/>
    </row>
    <row r="26" spans="1:28" x14ac:dyDescent="0.3">
      <c r="A26" s="26" t="s">
        <v>138</v>
      </c>
      <c r="B26" s="18">
        <v>23</v>
      </c>
      <c r="C26" s="19">
        <f t="shared" si="0"/>
        <v>29.870129870129869</v>
      </c>
      <c r="D26" s="18">
        <v>119</v>
      </c>
      <c r="E26" s="20">
        <f t="shared" si="1"/>
        <v>28.000000000000004</v>
      </c>
      <c r="F26" s="21">
        <v>52.46</v>
      </c>
      <c r="G26" s="22" t="s">
        <v>104</v>
      </c>
      <c r="H26" s="23">
        <v>2.95</v>
      </c>
      <c r="I26" s="23" t="s">
        <v>104</v>
      </c>
      <c r="J26" s="57">
        <v>8.2799999999999994</v>
      </c>
      <c r="K26" s="18" t="s">
        <v>136</v>
      </c>
      <c r="L26" s="16"/>
      <c r="M26" s="111" t="s">
        <v>7</v>
      </c>
      <c r="N26" s="51">
        <v>47</v>
      </c>
      <c r="O26" s="111" t="s">
        <v>7</v>
      </c>
      <c r="P26" s="39">
        <v>91.37</v>
      </c>
      <c r="Q26" s="16"/>
      <c r="R26" s="29" t="s">
        <v>7</v>
      </c>
      <c r="S26" s="30">
        <v>14.285714285714285</v>
      </c>
      <c r="T26" s="37">
        <v>47</v>
      </c>
      <c r="U26" s="31">
        <v>91.37</v>
      </c>
      <c r="V26" s="38">
        <f t="shared" ref="V26:V40" si="7">SUM(T26:U26)</f>
        <v>138.37</v>
      </c>
      <c r="W26" s="39">
        <f t="shared" ref="W26:W40" si="8">V26*S26</f>
        <v>1976.7142857142856</v>
      </c>
      <c r="X26" s="39">
        <f t="shared" ref="X26:X40" si="9">W26/2</f>
        <v>988.35714285714278</v>
      </c>
      <c r="Y26" s="32">
        <f t="shared" ref="Y26:Y40" si="10">X26/100</f>
        <v>9.8835714285714271</v>
      </c>
      <c r="Z26" s="16"/>
      <c r="AA26" s="124"/>
      <c r="AB26" s="125"/>
    </row>
    <row r="27" spans="1:28" x14ac:dyDescent="0.3">
      <c r="A27" s="26" t="s">
        <v>139</v>
      </c>
      <c r="B27" s="18">
        <v>17</v>
      </c>
      <c r="C27" s="19">
        <f>B27/77*100</f>
        <v>22.077922077922079</v>
      </c>
      <c r="D27" s="18">
        <v>17</v>
      </c>
      <c r="E27" s="20">
        <f t="shared" si="1"/>
        <v>4</v>
      </c>
      <c r="F27" s="21">
        <v>27.01</v>
      </c>
      <c r="G27" s="22" t="s">
        <v>104</v>
      </c>
      <c r="H27" s="23">
        <v>5.13</v>
      </c>
      <c r="I27" s="23" t="s">
        <v>104</v>
      </c>
      <c r="J27" s="57">
        <v>3.55</v>
      </c>
      <c r="K27" s="18" t="s">
        <v>136</v>
      </c>
      <c r="L27" s="28"/>
      <c r="M27" s="111" t="s">
        <v>9</v>
      </c>
      <c r="N27" s="51">
        <v>45.88</v>
      </c>
      <c r="O27" s="111" t="s">
        <v>9</v>
      </c>
      <c r="P27" s="39">
        <v>74.63</v>
      </c>
      <c r="Q27" s="16"/>
      <c r="R27" s="29" t="s">
        <v>9</v>
      </c>
      <c r="S27" s="30">
        <v>18.181818181818183</v>
      </c>
      <c r="T27" s="37">
        <v>45.88</v>
      </c>
      <c r="U27" s="31">
        <v>74.63</v>
      </c>
      <c r="V27" s="38">
        <f t="shared" si="7"/>
        <v>120.50999999999999</v>
      </c>
      <c r="W27" s="39">
        <f t="shared" si="8"/>
        <v>2191.090909090909</v>
      </c>
      <c r="X27" s="39">
        <f t="shared" si="9"/>
        <v>1095.5454545454545</v>
      </c>
      <c r="Y27" s="32">
        <f t="shared" si="10"/>
        <v>10.955454545454545</v>
      </c>
      <c r="Z27" s="16"/>
      <c r="AA27" s="124"/>
      <c r="AB27" s="125"/>
    </row>
    <row r="28" spans="1:28" x14ac:dyDescent="0.3">
      <c r="A28" s="17" t="s">
        <v>83</v>
      </c>
      <c r="B28" s="144" t="s">
        <v>140</v>
      </c>
      <c r="C28" s="144"/>
      <c r="D28" s="145" t="s">
        <v>141</v>
      </c>
      <c r="E28" s="146"/>
      <c r="F28" s="111"/>
      <c r="G28" s="40"/>
      <c r="H28" s="41"/>
      <c r="I28" s="41"/>
      <c r="J28" s="38">
        <f>SUM(J24,J15,J14,J13,J12,J11,J9,J5,J4)</f>
        <v>101.38</v>
      </c>
      <c r="K28" s="38">
        <f>SUM(K3,K9,K11,K12,K13,K14,K15)</f>
        <v>98.740000000000009</v>
      </c>
      <c r="L28" s="28"/>
      <c r="M28" s="111" t="s">
        <v>11</v>
      </c>
      <c r="N28" s="51">
        <v>34.08</v>
      </c>
      <c r="O28" s="111" t="s">
        <v>11</v>
      </c>
      <c r="P28" s="39">
        <v>74.23</v>
      </c>
      <c r="Q28" s="16"/>
      <c r="R28" s="29" t="s">
        <v>11</v>
      </c>
      <c r="S28" s="30">
        <v>19.480519480519483</v>
      </c>
      <c r="T28" s="37">
        <v>34.08</v>
      </c>
      <c r="U28" s="31">
        <v>74.23</v>
      </c>
      <c r="V28" s="38">
        <f t="shared" si="7"/>
        <v>108.31</v>
      </c>
      <c r="W28" s="39">
        <f t="shared" si="8"/>
        <v>2109.9350649350654</v>
      </c>
      <c r="X28" s="39">
        <f t="shared" si="9"/>
        <v>1054.9675324675327</v>
      </c>
      <c r="Y28" s="32">
        <f t="shared" si="10"/>
        <v>10.549675324675327</v>
      </c>
      <c r="Z28" s="126"/>
      <c r="AA28" s="125"/>
      <c r="AB28" s="125"/>
    </row>
    <row r="29" spans="1:28" x14ac:dyDescent="0.3">
      <c r="A29" s="42"/>
      <c r="B29" s="15"/>
      <c r="C29" s="15"/>
      <c r="D29" s="15"/>
      <c r="E29" s="15"/>
      <c r="F29" s="15"/>
      <c r="G29" s="15"/>
      <c r="H29" s="16"/>
      <c r="I29" s="16"/>
      <c r="J29" s="16"/>
      <c r="K29" s="16"/>
      <c r="L29" s="16"/>
      <c r="M29" s="111" t="s">
        <v>13</v>
      </c>
      <c r="N29" s="51">
        <v>39.15</v>
      </c>
      <c r="O29" s="111" t="s">
        <v>13</v>
      </c>
      <c r="P29" s="39">
        <v>21.09</v>
      </c>
      <c r="Q29" s="16"/>
      <c r="R29" s="29" t="s">
        <v>13</v>
      </c>
      <c r="S29" s="30">
        <v>62.337662337662337</v>
      </c>
      <c r="T29" s="31">
        <v>39.15</v>
      </c>
      <c r="U29" s="111">
        <v>21.09</v>
      </c>
      <c r="V29" s="38">
        <f t="shared" si="7"/>
        <v>60.239999999999995</v>
      </c>
      <c r="W29" s="39">
        <f t="shared" si="8"/>
        <v>3755.2207792207787</v>
      </c>
      <c r="X29" s="39">
        <f t="shared" si="9"/>
        <v>1877.6103896103893</v>
      </c>
      <c r="Y29" s="32">
        <f t="shared" si="10"/>
        <v>18.776103896103894</v>
      </c>
      <c r="Z29" s="126"/>
      <c r="AA29" s="125"/>
      <c r="AB29" s="125"/>
    </row>
    <row r="30" spans="1:28" ht="18.600000000000001" x14ac:dyDescent="0.3">
      <c r="A30" s="16"/>
      <c r="B30" s="16"/>
      <c r="C30" s="16"/>
      <c r="D30" s="15"/>
      <c r="E30" s="15"/>
      <c r="F30" s="15"/>
      <c r="G30" s="15"/>
      <c r="H30" s="16"/>
      <c r="I30" s="16"/>
      <c r="J30" s="110"/>
      <c r="K30" s="110"/>
      <c r="L30" s="110"/>
      <c r="M30" s="111" t="s">
        <v>15</v>
      </c>
      <c r="N30" s="51">
        <v>47.39</v>
      </c>
      <c r="O30" s="111" t="s">
        <v>15</v>
      </c>
      <c r="P30" s="39">
        <v>65.48</v>
      </c>
      <c r="Q30" s="110"/>
      <c r="R30" s="29" t="s">
        <v>15</v>
      </c>
      <c r="S30" s="30">
        <v>54.54545454545454</v>
      </c>
      <c r="T30" s="31">
        <v>39.15</v>
      </c>
      <c r="U30" s="111">
        <v>65.48</v>
      </c>
      <c r="V30" s="38">
        <f t="shared" si="7"/>
        <v>104.63</v>
      </c>
      <c r="W30" s="39">
        <f t="shared" si="8"/>
        <v>5707.0909090909081</v>
      </c>
      <c r="X30" s="39">
        <f t="shared" si="9"/>
        <v>2853.545454545454</v>
      </c>
      <c r="Y30" s="32">
        <f t="shared" si="10"/>
        <v>28.535454545454542</v>
      </c>
      <c r="Z30" s="42"/>
      <c r="AA30" s="124"/>
      <c r="AB30" s="125"/>
    </row>
    <row r="31" spans="1:28" ht="15" customHeight="1" x14ac:dyDescent="0.3">
      <c r="A31" s="16"/>
      <c r="B31" s="16"/>
      <c r="C31" s="16"/>
      <c r="D31" s="15"/>
      <c r="E31" s="15"/>
      <c r="F31" s="15"/>
      <c r="G31" s="15"/>
      <c r="H31" s="16"/>
      <c r="I31" s="16"/>
      <c r="J31" s="110"/>
      <c r="K31" s="110"/>
      <c r="L31" s="110"/>
      <c r="M31" s="111" t="s">
        <v>17</v>
      </c>
      <c r="N31" s="51">
        <v>37.03</v>
      </c>
      <c r="O31" s="111" t="s">
        <v>17</v>
      </c>
      <c r="P31" s="39">
        <v>24.62</v>
      </c>
      <c r="Q31" s="15"/>
      <c r="R31" s="29" t="s">
        <v>19</v>
      </c>
      <c r="S31" s="30">
        <v>3.8961038961038961</v>
      </c>
      <c r="T31" s="31">
        <v>45.56</v>
      </c>
      <c r="U31" s="111">
        <v>53.99</v>
      </c>
      <c r="V31" s="38">
        <f t="shared" si="7"/>
        <v>99.550000000000011</v>
      </c>
      <c r="W31" s="39">
        <f t="shared" si="8"/>
        <v>387.85714285714289</v>
      </c>
      <c r="X31" s="39">
        <f t="shared" si="9"/>
        <v>193.92857142857144</v>
      </c>
      <c r="Y31" s="32">
        <f t="shared" si="10"/>
        <v>1.9392857142857145</v>
      </c>
      <c r="Z31" s="42"/>
      <c r="AA31" s="124"/>
      <c r="AB31" s="125"/>
    </row>
    <row r="32" spans="1:28" ht="15" customHeight="1" x14ac:dyDescent="0.3">
      <c r="A32" s="16"/>
      <c r="B32" s="16"/>
      <c r="C32" s="16"/>
      <c r="D32" s="15"/>
      <c r="E32" s="15"/>
      <c r="F32" s="15"/>
      <c r="G32" s="15"/>
      <c r="H32" s="16"/>
      <c r="I32" s="16"/>
      <c r="J32" s="110"/>
      <c r="K32" s="110"/>
      <c r="L32" s="110"/>
      <c r="M32" s="111" t="s">
        <v>19</v>
      </c>
      <c r="N32" s="51">
        <v>45.56</v>
      </c>
      <c r="O32" s="111" t="s">
        <v>19</v>
      </c>
      <c r="P32" s="39">
        <v>53.99</v>
      </c>
      <c r="Q32" s="28"/>
      <c r="R32" s="29" t="s">
        <v>21</v>
      </c>
      <c r="S32" s="30">
        <v>1.2987012987012987</v>
      </c>
      <c r="T32" s="31">
        <v>14.29</v>
      </c>
      <c r="U32" s="111">
        <v>0.16</v>
      </c>
      <c r="V32" s="38">
        <f t="shared" si="7"/>
        <v>14.45</v>
      </c>
      <c r="W32" s="39">
        <f t="shared" si="8"/>
        <v>18.766233766233764</v>
      </c>
      <c r="X32" s="39">
        <f t="shared" si="9"/>
        <v>9.3831168831168821</v>
      </c>
      <c r="Y32" s="32">
        <f t="shared" si="10"/>
        <v>9.3831168831168821E-2</v>
      </c>
      <c r="Z32" s="42"/>
      <c r="AA32" s="124"/>
      <c r="AB32" s="125"/>
    </row>
    <row r="33" spans="1:28" ht="15" customHeight="1" x14ac:dyDescent="0.3">
      <c r="A33" s="16"/>
      <c r="B33" s="16"/>
      <c r="C33" s="16"/>
      <c r="D33" s="15"/>
      <c r="E33" s="15"/>
      <c r="F33" s="15"/>
      <c r="G33" s="15"/>
      <c r="H33" s="16"/>
      <c r="I33" s="16"/>
      <c r="J33" s="110"/>
      <c r="K33" s="110"/>
      <c r="L33" s="110"/>
      <c r="M33" s="111" t="s">
        <v>21</v>
      </c>
      <c r="N33" s="51">
        <v>14.29</v>
      </c>
      <c r="O33" s="111" t="s">
        <v>21</v>
      </c>
      <c r="P33" s="39">
        <v>0.16</v>
      </c>
      <c r="Q33" s="28"/>
      <c r="R33" s="29" t="s">
        <v>23</v>
      </c>
      <c r="S33" s="30">
        <v>3.8961038961038961</v>
      </c>
      <c r="T33" s="31">
        <v>34.33</v>
      </c>
      <c r="U33" s="111">
        <v>1.58</v>
      </c>
      <c r="V33" s="38">
        <f t="shared" si="7"/>
        <v>35.909999999999997</v>
      </c>
      <c r="W33" s="39">
        <f t="shared" si="8"/>
        <v>139.90909090909091</v>
      </c>
      <c r="X33" s="39">
        <f t="shared" si="9"/>
        <v>69.954545454545453</v>
      </c>
      <c r="Y33" s="32">
        <f t="shared" si="10"/>
        <v>0.69954545454545458</v>
      </c>
      <c r="Z33" s="42"/>
      <c r="AA33" s="124"/>
      <c r="AB33" s="125"/>
    </row>
    <row r="34" spans="1:28" ht="15" customHeight="1" x14ac:dyDescent="0.3">
      <c r="A34" s="16"/>
      <c r="B34" s="16"/>
      <c r="C34" s="16"/>
      <c r="D34" s="16"/>
      <c r="E34" s="16"/>
      <c r="F34" s="15"/>
      <c r="G34" s="15"/>
      <c r="H34" s="16"/>
      <c r="I34" s="16"/>
      <c r="J34" s="110"/>
      <c r="K34" s="110"/>
      <c r="L34" s="110"/>
      <c r="M34" s="111" t="s">
        <v>23</v>
      </c>
      <c r="N34" s="51">
        <v>34.33</v>
      </c>
      <c r="O34" s="111" t="s">
        <v>23</v>
      </c>
      <c r="P34" s="39">
        <v>1.58</v>
      </c>
      <c r="Q34" s="28"/>
      <c r="R34" s="29" t="s">
        <v>17</v>
      </c>
      <c r="S34" s="30">
        <v>9.0909090909090917</v>
      </c>
      <c r="T34" s="31">
        <v>37.03</v>
      </c>
      <c r="U34" s="111">
        <v>24.62</v>
      </c>
      <c r="V34" s="38">
        <f t="shared" si="7"/>
        <v>61.650000000000006</v>
      </c>
      <c r="W34" s="39">
        <f t="shared" si="8"/>
        <v>560.45454545454561</v>
      </c>
      <c r="X34" s="39">
        <f t="shared" si="9"/>
        <v>280.2272727272728</v>
      </c>
      <c r="Y34" s="32">
        <f t="shared" si="10"/>
        <v>2.8022727272727281</v>
      </c>
      <c r="Z34" s="42"/>
      <c r="AA34" s="124"/>
      <c r="AB34" s="125"/>
    </row>
    <row r="35" spans="1:28" ht="15" customHeight="1" x14ac:dyDescent="0.3">
      <c r="A35" s="16"/>
      <c r="B35" s="16"/>
      <c r="C35" s="16"/>
      <c r="D35" s="16"/>
      <c r="E35" s="16"/>
      <c r="F35" s="15"/>
      <c r="G35" s="15"/>
      <c r="H35" s="16"/>
      <c r="I35" s="16"/>
      <c r="J35" s="110"/>
      <c r="K35" s="110"/>
      <c r="L35" s="110"/>
      <c r="M35" s="111" t="s">
        <v>31</v>
      </c>
      <c r="N35" s="51">
        <v>20</v>
      </c>
      <c r="O35" s="111" t="s">
        <v>31</v>
      </c>
      <c r="P35" s="39">
        <v>2.3199999999999998</v>
      </c>
      <c r="Q35" s="28"/>
      <c r="R35" s="29" t="s">
        <v>31</v>
      </c>
      <c r="S35" s="30">
        <v>1.2987012987012987</v>
      </c>
      <c r="T35" s="31">
        <v>20</v>
      </c>
      <c r="U35" s="111">
        <v>2.3199999999999998</v>
      </c>
      <c r="V35" s="38">
        <f t="shared" si="7"/>
        <v>22.32</v>
      </c>
      <c r="W35" s="39">
        <f t="shared" si="8"/>
        <v>28.987012987012989</v>
      </c>
      <c r="X35" s="39">
        <f t="shared" si="9"/>
        <v>14.493506493506494</v>
      </c>
      <c r="Y35" s="32">
        <f t="shared" si="10"/>
        <v>0.14493506493506494</v>
      </c>
      <c r="Z35" s="42"/>
      <c r="AA35" s="124"/>
      <c r="AB35" s="125"/>
    </row>
    <row r="36" spans="1:28" ht="15" customHeight="1" x14ac:dyDescent="0.3">
      <c r="A36" s="16"/>
      <c r="B36" s="16"/>
      <c r="C36" s="16"/>
      <c r="D36" s="16"/>
      <c r="E36" s="16"/>
      <c r="F36" s="15"/>
      <c r="G36" s="15"/>
      <c r="H36" s="16"/>
      <c r="I36" s="16"/>
      <c r="J36" s="110"/>
      <c r="K36" s="110"/>
      <c r="L36" s="110"/>
      <c r="M36" s="111" t="s">
        <v>33</v>
      </c>
      <c r="N36" s="51">
        <v>34.93</v>
      </c>
      <c r="O36" s="111" t="s">
        <v>33</v>
      </c>
      <c r="P36" s="39">
        <v>0.56000000000000005</v>
      </c>
      <c r="Q36" s="28"/>
      <c r="R36" s="29" t="s">
        <v>33</v>
      </c>
      <c r="S36" s="30">
        <v>6.4935064935064926</v>
      </c>
      <c r="T36" s="31">
        <v>34.93</v>
      </c>
      <c r="U36" s="111">
        <v>0.56000000000000005</v>
      </c>
      <c r="V36" s="38">
        <f t="shared" si="7"/>
        <v>35.49</v>
      </c>
      <c r="W36" s="39">
        <f t="shared" si="8"/>
        <v>230.45454545454544</v>
      </c>
      <c r="X36" s="39">
        <f t="shared" si="9"/>
        <v>115.22727272727272</v>
      </c>
      <c r="Y36" s="32">
        <f t="shared" si="10"/>
        <v>1.1522727272727271</v>
      </c>
      <c r="Z36" s="42"/>
      <c r="AA36" s="124"/>
      <c r="AB36" s="125"/>
    </row>
    <row r="37" spans="1:28" ht="15" customHeight="1" x14ac:dyDescent="0.3">
      <c r="A37" s="16"/>
      <c r="B37" s="16"/>
      <c r="C37" s="16"/>
      <c r="D37" s="16"/>
      <c r="E37" s="16"/>
      <c r="F37" s="15"/>
      <c r="G37" s="15"/>
      <c r="H37" s="16"/>
      <c r="I37" s="16"/>
      <c r="J37" s="110"/>
      <c r="K37" s="110"/>
      <c r="L37" s="110"/>
      <c r="M37" s="111" t="s">
        <v>35</v>
      </c>
      <c r="N37" s="51">
        <v>48.61</v>
      </c>
      <c r="O37" s="111" t="s">
        <v>35</v>
      </c>
      <c r="P37" s="39">
        <v>29.27</v>
      </c>
      <c r="Q37" s="28"/>
      <c r="R37" s="29" t="s">
        <v>37</v>
      </c>
      <c r="S37" s="30">
        <v>28.571428571428569</v>
      </c>
      <c r="T37" s="31">
        <v>50.25</v>
      </c>
      <c r="U37" s="111">
        <v>0.66</v>
      </c>
      <c r="V37" s="38">
        <f t="shared" si="7"/>
        <v>50.91</v>
      </c>
      <c r="W37" s="39">
        <f t="shared" si="8"/>
        <v>1454.5714285714284</v>
      </c>
      <c r="X37" s="39">
        <f t="shared" si="9"/>
        <v>727.28571428571422</v>
      </c>
      <c r="Y37" s="32">
        <f t="shared" si="10"/>
        <v>7.2728571428571422</v>
      </c>
      <c r="Z37" s="16"/>
      <c r="AA37" s="124"/>
      <c r="AB37" s="125"/>
    </row>
    <row r="38" spans="1:28" ht="15" customHeight="1" x14ac:dyDescent="0.3">
      <c r="A38" s="16"/>
      <c r="B38" s="16"/>
      <c r="C38" s="16"/>
      <c r="D38" s="16"/>
      <c r="E38" s="16"/>
      <c r="F38" s="15"/>
      <c r="G38" s="15"/>
      <c r="H38" s="16"/>
      <c r="I38" s="16"/>
      <c r="J38" s="110"/>
      <c r="K38" s="110"/>
      <c r="L38" s="110"/>
      <c r="M38" s="111" t="s">
        <v>37</v>
      </c>
      <c r="N38" s="51">
        <v>50.25</v>
      </c>
      <c r="O38" s="111" t="s">
        <v>37</v>
      </c>
      <c r="P38" s="39">
        <v>0.66</v>
      </c>
      <c r="Q38" s="28"/>
      <c r="R38" s="29" t="s">
        <v>142</v>
      </c>
      <c r="S38" s="30">
        <v>3.8961038961038961</v>
      </c>
      <c r="T38" s="31">
        <v>48.61</v>
      </c>
      <c r="U38" s="111">
        <v>29.27</v>
      </c>
      <c r="V38" s="38">
        <f t="shared" si="7"/>
        <v>77.88</v>
      </c>
      <c r="W38" s="39">
        <f t="shared" si="8"/>
        <v>303.42857142857139</v>
      </c>
      <c r="X38" s="39">
        <f>W38/2</f>
        <v>151.71428571428569</v>
      </c>
      <c r="Y38" s="32">
        <f t="shared" si="10"/>
        <v>1.5171428571428569</v>
      </c>
      <c r="Z38" s="42"/>
      <c r="AA38" s="124"/>
      <c r="AB38" s="125"/>
    </row>
    <row r="39" spans="1:28" ht="15" customHeight="1" x14ac:dyDescent="0.3">
      <c r="A39" s="16"/>
      <c r="B39" s="16"/>
      <c r="C39" s="16"/>
      <c r="D39" s="16"/>
      <c r="E39" s="16"/>
      <c r="F39" s="15"/>
      <c r="G39" s="15"/>
      <c r="H39" s="16"/>
      <c r="I39" s="16"/>
      <c r="J39" s="110"/>
      <c r="K39" s="110"/>
      <c r="L39" s="110"/>
      <c r="M39" s="111" t="s">
        <v>39</v>
      </c>
      <c r="N39" s="51">
        <v>25</v>
      </c>
      <c r="O39" s="111" t="s">
        <v>39</v>
      </c>
      <c r="P39" s="39">
        <v>19.55</v>
      </c>
      <c r="Q39" s="28"/>
      <c r="R39" s="29" t="s">
        <v>39</v>
      </c>
      <c r="S39" s="30">
        <v>1.2987012987012987</v>
      </c>
      <c r="T39" s="31">
        <v>25</v>
      </c>
      <c r="U39" s="111">
        <v>19.55</v>
      </c>
      <c r="V39" s="38">
        <f t="shared" si="7"/>
        <v>44.55</v>
      </c>
      <c r="W39" s="39">
        <f t="shared" si="8"/>
        <v>57.857142857142854</v>
      </c>
      <c r="X39" s="39">
        <f t="shared" si="9"/>
        <v>28.928571428571427</v>
      </c>
      <c r="Y39" s="32">
        <f t="shared" si="10"/>
        <v>0.28928571428571426</v>
      </c>
      <c r="Z39" s="16"/>
      <c r="AA39" s="124"/>
      <c r="AB39" s="125"/>
    </row>
    <row r="40" spans="1:28" ht="15" customHeight="1" x14ac:dyDescent="0.3">
      <c r="A40" s="46"/>
      <c r="B40" s="16"/>
      <c r="C40" s="16"/>
      <c r="D40" s="16"/>
      <c r="E40" s="16"/>
      <c r="F40" s="15"/>
      <c r="G40" s="15"/>
      <c r="H40" s="16"/>
      <c r="I40" s="16"/>
      <c r="J40" s="110"/>
      <c r="K40" s="110"/>
      <c r="L40" s="110"/>
      <c r="M40" s="111" t="s">
        <v>41</v>
      </c>
      <c r="N40" s="51">
        <v>50</v>
      </c>
      <c r="O40" s="111" t="s">
        <v>41</v>
      </c>
      <c r="P40" s="39">
        <v>0.64</v>
      </c>
      <c r="Q40" s="28"/>
      <c r="R40" s="29" t="s">
        <v>41</v>
      </c>
      <c r="S40" s="30">
        <v>1.2987012987012987</v>
      </c>
      <c r="T40" s="31">
        <v>50</v>
      </c>
      <c r="U40" s="111">
        <v>0.64</v>
      </c>
      <c r="V40" s="38">
        <f t="shared" si="7"/>
        <v>50.64</v>
      </c>
      <c r="W40" s="39">
        <f t="shared" si="8"/>
        <v>65.766233766233768</v>
      </c>
      <c r="X40" s="39">
        <f t="shared" si="9"/>
        <v>32.883116883116884</v>
      </c>
      <c r="Y40" s="32">
        <f t="shared" si="10"/>
        <v>0.32883116883116886</v>
      </c>
      <c r="Z40" s="42"/>
      <c r="AA40" s="124"/>
      <c r="AB40" s="125"/>
    </row>
    <row r="41" spans="1:28" ht="15" customHeight="1" x14ac:dyDescent="0.3">
      <c r="A41" s="46"/>
      <c r="B41" s="16"/>
      <c r="C41" s="16"/>
      <c r="D41" s="16"/>
      <c r="E41" s="16"/>
      <c r="F41" s="15"/>
      <c r="G41" s="15"/>
      <c r="H41" s="16"/>
      <c r="I41" s="16"/>
      <c r="J41" s="110"/>
      <c r="K41" s="110"/>
      <c r="L41" s="110"/>
      <c r="M41" s="110"/>
      <c r="N41" s="28"/>
      <c r="O41" s="28"/>
      <c r="P41" s="28"/>
      <c r="Q41" s="28"/>
      <c r="R41" s="15"/>
      <c r="S41" s="47"/>
      <c r="T41" s="15"/>
      <c r="U41" s="28"/>
      <c r="V41" s="16"/>
      <c r="W41" s="48"/>
      <c r="X41" s="28"/>
      <c r="Y41" s="48"/>
      <c r="Z41" s="42"/>
      <c r="AA41" s="124"/>
      <c r="AB41" s="125"/>
    </row>
    <row r="42" spans="1:28" ht="15" customHeight="1" x14ac:dyDescent="0.3">
      <c r="A42" s="46"/>
      <c r="B42" s="16"/>
      <c r="C42" s="16"/>
      <c r="D42" s="16"/>
      <c r="E42" s="16"/>
      <c r="F42" s="15"/>
      <c r="G42" s="15"/>
      <c r="H42" s="16"/>
      <c r="I42" s="16"/>
      <c r="J42" s="110"/>
      <c r="K42" s="110"/>
      <c r="L42" s="110"/>
      <c r="M42" s="110"/>
      <c r="N42" s="28"/>
      <c r="O42" s="28"/>
      <c r="P42" s="28"/>
      <c r="Q42" s="28"/>
      <c r="R42" s="15"/>
      <c r="S42" s="47"/>
      <c r="T42" s="15"/>
      <c r="U42" s="28"/>
      <c r="V42" s="16"/>
      <c r="W42" s="48"/>
      <c r="X42" s="28"/>
      <c r="Y42" s="48"/>
      <c r="Z42" s="16"/>
      <c r="AA42" s="124"/>
      <c r="AB42" s="125"/>
    </row>
    <row r="43" spans="1:28" ht="15" customHeight="1" x14ac:dyDescent="0.3">
      <c r="A43" s="46"/>
      <c r="B43" s="16"/>
      <c r="C43" s="16"/>
      <c r="D43" s="16"/>
      <c r="E43" s="16"/>
      <c r="F43" s="15"/>
      <c r="G43" s="15"/>
      <c r="H43" s="16"/>
      <c r="I43" s="16"/>
      <c r="J43" s="110"/>
      <c r="K43" s="110"/>
      <c r="L43" s="110"/>
      <c r="M43" s="110"/>
      <c r="N43" s="28"/>
      <c r="O43" s="28"/>
      <c r="P43" s="28"/>
      <c r="Q43" s="28"/>
      <c r="R43" s="15"/>
      <c r="S43" s="47"/>
      <c r="T43" s="28"/>
      <c r="U43" s="28"/>
      <c r="V43" s="16"/>
      <c r="W43" s="48"/>
      <c r="X43" s="28"/>
      <c r="Y43" s="48"/>
      <c r="Z43" s="42"/>
      <c r="AA43" s="124"/>
      <c r="AB43" s="125"/>
    </row>
    <row r="44" spans="1:28" ht="15" customHeight="1" x14ac:dyDescent="0.3">
      <c r="A44" s="15"/>
      <c r="B44" s="16"/>
      <c r="C44" s="16"/>
      <c r="D44" s="16"/>
      <c r="E44" s="16"/>
      <c r="F44" s="15"/>
      <c r="G44" s="15"/>
      <c r="H44" s="16"/>
      <c r="I44" s="16"/>
      <c r="J44" s="110"/>
      <c r="K44" s="110"/>
      <c r="L44" s="110"/>
      <c r="M44" s="110"/>
      <c r="N44" s="28"/>
      <c r="O44" s="28"/>
      <c r="P44" s="28"/>
      <c r="Q44" s="28"/>
      <c r="R44" s="15"/>
      <c r="S44" s="47"/>
      <c r="T44" s="28"/>
      <c r="U44" s="28"/>
      <c r="V44" s="16"/>
      <c r="W44" s="48"/>
      <c r="X44" s="28"/>
      <c r="Y44" s="48"/>
      <c r="Z44" s="42"/>
      <c r="AA44" s="124"/>
      <c r="AB44" s="125"/>
    </row>
    <row r="45" spans="1:28" ht="15" customHeight="1" x14ac:dyDescent="0.3">
      <c r="A45" s="15"/>
      <c r="B45" s="16"/>
      <c r="C45" s="16"/>
      <c r="D45" s="16"/>
      <c r="E45" s="16"/>
      <c r="F45" s="15"/>
      <c r="G45" s="15"/>
      <c r="H45" s="16"/>
      <c r="I45" s="16"/>
      <c r="J45" s="110"/>
      <c r="K45" s="110"/>
      <c r="L45" s="110"/>
      <c r="M45" s="110"/>
      <c r="N45" s="28"/>
      <c r="O45" s="28"/>
      <c r="P45" s="28"/>
      <c r="Q45" s="28"/>
      <c r="R45" s="15"/>
      <c r="S45" s="47"/>
      <c r="T45" s="28"/>
      <c r="U45" s="28"/>
      <c r="V45" s="16"/>
      <c r="W45" s="48"/>
      <c r="X45" s="28"/>
      <c r="Y45" s="48"/>
      <c r="Z45" s="42"/>
      <c r="AA45" s="124"/>
      <c r="AB45" s="125"/>
    </row>
    <row r="46" spans="1:28" ht="15" customHeight="1" x14ac:dyDescent="0.3">
      <c r="A46" s="15"/>
      <c r="B46" s="16"/>
      <c r="C46" s="16"/>
      <c r="D46" s="16"/>
      <c r="E46" s="16"/>
      <c r="F46" s="15"/>
      <c r="G46" s="15"/>
      <c r="H46" s="16"/>
      <c r="I46" s="16"/>
      <c r="J46" s="110"/>
      <c r="K46" s="110"/>
      <c r="L46" s="110"/>
      <c r="M46" s="110"/>
      <c r="N46" s="28"/>
      <c r="O46" s="28"/>
      <c r="P46" s="28"/>
      <c r="Q46" s="28"/>
      <c r="R46" s="15"/>
      <c r="S46" s="47"/>
      <c r="T46" s="28"/>
      <c r="U46" s="28"/>
      <c r="V46" s="16"/>
      <c r="W46" s="48"/>
      <c r="X46" s="28"/>
      <c r="Y46" s="48"/>
      <c r="Z46" s="16"/>
      <c r="AA46" s="124"/>
      <c r="AB46" s="125"/>
    </row>
    <row r="47" spans="1:28" ht="18.600000000000001" x14ac:dyDescent="0.3">
      <c r="A47" s="15"/>
      <c r="B47" s="16"/>
      <c r="C47" s="16"/>
      <c r="D47" s="16"/>
      <c r="E47" s="16"/>
      <c r="F47" s="15"/>
      <c r="G47" s="15"/>
      <c r="H47" s="16"/>
      <c r="I47" s="16"/>
      <c r="J47" s="110"/>
      <c r="K47" s="110"/>
      <c r="L47" s="110"/>
      <c r="M47" s="110"/>
      <c r="N47" s="28"/>
      <c r="O47" s="28"/>
      <c r="P47" s="28"/>
      <c r="Q47" s="28"/>
      <c r="R47" s="15"/>
      <c r="S47" s="136" t="s">
        <v>88</v>
      </c>
      <c r="T47" s="137"/>
      <c r="U47" s="130" t="s">
        <v>84</v>
      </c>
      <c r="V47" s="135"/>
      <c r="W47" s="48"/>
      <c r="X47" s="28"/>
      <c r="Y47" s="48"/>
      <c r="Z47" s="16"/>
      <c r="AA47" s="124"/>
      <c r="AB47" s="125"/>
    </row>
    <row r="48" spans="1:28" ht="15" customHeight="1" x14ac:dyDescent="0.3">
      <c r="A48" s="15"/>
      <c r="B48" s="16"/>
      <c r="C48" s="16"/>
      <c r="D48" s="16"/>
      <c r="E48" s="16"/>
      <c r="F48" s="15"/>
      <c r="G48" s="15"/>
      <c r="H48" s="16"/>
      <c r="I48" s="16"/>
      <c r="J48" s="110"/>
      <c r="K48" s="110"/>
      <c r="L48" s="110"/>
      <c r="M48" s="110"/>
      <c r="N48" s="28"/>
      <c r="O48" s="28"/>
      <c r="P48" s="28"/>
      <c r="Q48" s="28"/>
      <c r="R48" s="16"/>
      <c r="S48" s="43" t="s">
        <v>85</v>
      </c>
      <c r="T48" s="43" t="s">
        <v>86</v>
      </c>
      <c r="U48" s="44" t="s">
        <v>85</v>
      </c>
      <c r="V48" s="45" t="s">
        <v>86</v>
      </c>
      <c r="W48" s="48"/>
      <c r="X48" s="28"/>
      <c r="Y48" s="48"/>
      <c r="Z48" s="16"/>
      <c r="AA48" s="124"/>
      <c r="AB48" s="125"/>
    </row>
    <row r="49" spans="1:28" ht="15" customHeight="1" x14ac:dyDescent="0.3">
      <c r="A49" s="15"/>
      <c r="B49" s="16"/>
      <c r="C49" s="16"/>
      <c r="D49" s="16"/>
      <c r="E49" s="16"/>
      <c r="F49" s="15"/>
      <c r="G49" s="15"/>
      <c r="H49" s="16"/>
      <c r="I49" s="16"/>
      <c r="J49" s="110"/>
      <c r="K49" s="110"/>
      <c r="L49" s="110"/>
      <c r="M49" s="110"/>
      <c r="N49" s="28"/>
      <c r="O49" s="28"/>
      <c r="P49" s="28"/>
      <c r="Q49" s="28"/>
      <c r="R49" s="16"/>
      <c r="S49" s="29" t="s">
        <v>5</v>
      </c>
      <c r="T49" s="39">
        <v>22.77</v>
      </c>
      <c r="U49" s="29" t="s">
        <v>5</v>
      </c>
      <c r="V49" s="39">
        <v>57.650852681312642</v>
      </c>
      <c r="W49" s="48"/>
      <c r="X49" s="28"/>
      <c r="Y49" s="48"/>
      <c r="Z49" s="42"/>
      <c r="AA49" s="134"/>
      <c r="AB49" s="134"/>
    </row>
    <row r="50" spans="1:28" ht="15" customHeight="1" x14ac:dyDescent="0.3">
      <c r="A50" s="15"/>
      <c r="B50" s="16"/>
      <c r="C50" s="16"/>
      <c r="D50" s="16"/>
      <c r="E50" s="16"/>
      <c r="F50" s="15"/>
      <c r="G50" s="15"/>
      <c r="H50" s="16"/>
      <c r="I50" s="16"/>
      <c r="J50" s="110"/>
      <c r="K50" s="110"/>
      <c r="L50" s="110"/>
      <c r="M50" s="110"/>
      <c r="N50" s="28"/>
      <c r="O50" s="28"/>
      <c r="P50" s="28"/>
      <c r="Q50" s="28"/>
      <c r="R50" s="16"/>
      <c r="S50" s="29" t="s">
        <v>7</v>
      </c>
      <c r="T50" s="39">
        <v>29.847272727272728</v>
      </c>
      <c r="U50" s="29" t="s">
        <v>7</v>
      </c>
      <c r="V50" s="39">
        <v>89.186013270705999</v>
      </c>
      <c r="W50" s="48"/>
      <c r="X50" s="28"/>
      <c r="Y50" s="48"/>
      <c r="Z50" s="28"/>
      <c r="AA50" s="16"/>
    </row>
    <row r="51" spans="1:28" x14ac:dyDescent="0.3">
      <c r="A51" s="15"/>
      <c r="B51" s="16"/>
      <c r="C51" s="16"/>
      <c r="D51" s="16"/>
      <c r="E51" s="16"/>
      <c r="F51" s="15"/>
      <c r="G51" s="15"/>
      <c r="H51" s="16"/>
      <c r="I51" s="16"/>
      <c r="J51" s="48"/>
      <c r="K51" s="48"/>
      <c r="L51" s="48"/>
      <c r="M51" s="28"/>
      <c r="N51" s="28"/>
      <c r="O51" s="28"/>
      <c r="P51" s="28"/>
      <c r="Q51" s="28"/>
      <c r="R51" s="16"/>
      <c r="S51" s="29" t="s">
        <v>9</v>
      </c>
      <c r="T51" s="39">
        <v>27.874285714285712</v>
      </c>
      <c r="U51" s="29" t="s">
        <v>9</v>
      </c>
      <c r="V51" s="39">
        <v>71.45399502223664</v>
      </c>
      <c r="W51" s="48"/>
      <c r="X51" s="28"/>
      <c r="Y51" s="48"/>
      <c r="Z51" s="28"/>
      <c r="AA51" s="16"/>
    </row>
    <row r="52" spans="1:28" ht="18.600000000000001" x14ac:dyDescent="0.3">
      <c r="A52" s="15"/>
      <c r="B52" s="16"/>
      <c r="C52" s="16"/>
      <c r="D52" s="16"/>
      <c r="E52" s="16"/>
      <c r="F52" s="15"/>
      <c r="G52" s="15"/>
      <c r="H52" s="16"/>
      <c r="I52" s="16"/>
      <c r="J52" s="143"/>
      <c r="K52" s="143"/>
      <c r="L52" s="143"/>
      <c r="M52" s="143"/>
      <c r="N52" s="110"/>
      <c r="O52" s="110"/>
      <c r="P52" s="110"/>
      <c r="Q52" s="110"/>
      <c r="R52" s="16"/>
      <c r="S52" s="29" t="s">
        <v>11</v>
      </c>
      <c r="T52" s="39">
        <v>25.709999999999997</v>
      </c>
      <c r="U52" s="29" t="s">
        <v>11</v>
      </c>
      <c r="V52" s="39">
        <v>72.447382602476779</v>
      </c>
      <c r="W52" s="48"/>
      <c r="X52" s="28"/>
      <c r="Y52" s="48"/>
      <c r="Z52" s="28"/>
      <c r="AA52" s="16"/>
    </row>
    <row r="53" spans="1:28" x14ac:dyDescent="0.3">
      <c r="A53" s="15"/>
      <c r="B53" s="16"/>
      <c r="C53" s="16"/>
      <c r="D53" s="16"/>
      <c r="E53" s="16"/>
      <c r="F53" s="15"/>
      <c r="G53" s="15"/>
      <c r="H53" s="16"/>
      <c r="I53" s="16"/>
      <c r="J53" s="15"/>
      <c r="K53" s="15"/>
      <c r="L53" s="15"/>
      <c r="M53" s="15"/>
      <c r="N53" s="15"/>
      <c r="O53" s="15"/>
      <c r="P53" s="15"/>
      <c r="Q53" s="15"/>
      <c r="R53" s="16"/>
      <c r="S53" s="29" t="s">
        <v>13</v>
      </c>
      <c r="T53" s="39">
        <v>29.886875000000003</v>
      </c>
      <c r="U53" s="29" t="s">
        <v>13</v>
      </c>
      <c r="V53" s="39">
        <v>20.27127265353095</v>
      </c>
      <c r="W53" s="16"/>
      <c r="X53" s="16"/>
      <c r="Y53" s="16"/>
      <c r="Z53" s="16"/>
      <c r="AA53" s="16"/>
    </row>
    <row r="54" spans="1:28" x14ac:dyDescent="0.3">
      <c r="A54" s="15"/>
      <c r="B54" s="16"/>
      <c r="C54" s="16"/>
      <c r="D54" s="16"/>
      <c r="E54" s="16"/>
      <c r="F54" s="15"/>
      <c r="G54" s="15"/>
      <c r="H54" s="16"/>
      <c r="I54" s="16"/>
      <c r="J54" s="15"/>
      <c r="K54" s="47"/>
      <c r="L54" s="15"/>
      <c r="M54" s="28"/>
      <c r="N54" s="28"/>
      <c r="O54" s="28"/>
      <c r="P54" s="28"/>
      <c r="Q54" s="28"/>
      <c r="R54" s="16"/>
      <c r="S54" s="29" t="s">
        <v>15</v>
      </c>
      <c r="T54" s="39">
        <v>29.582857142857147</v>
      </c>
      <c r="U54" s="29" t="s">
        <v>15</v>
      </c>
      <c r="V54" s="39">
        <v>63.997546167701159</v>
      </c>
      <c r="W54" s="16"/>
      <c r="X54" s="16"/>
      <c r="Y54" s="16"/>
      <c r="Z54" s="16"/>
      <c r="AA54" s="16"/>
    </row>
    <row r="55" spans="1:28" x14ac:dyDescent="0.3">
      <c r="A55" s="15"/>
      <c r="B55" s="16"/>
      <c r="C55" s="16"/>
      <c r="D55" s="16"/>
      <c r="E55" s="16"/>
      <c r="F55" s="15"/>
      <c r="G55" s="15"/>
      <c r="H55" s="16"/>
      <c r="I55" s="16"/>
      <c r="J55" s="15"/>
      <c r="K55" s="47"/>
      <c r="L55" s="15"/>
      <c r="M55" s="28"/>
      <c r="N55" s="28"/>
      <c r="O55" s="28"/>
      <c r="P55" s="28"/>
      <c r="Q55" s="28"/>
      <c r="R55" s="16"/>
      <c r="S55" s="29" t="s">
        <v>17</v>
      </c>
      <c r="T55" s="39">
        <v>26.511428571428571</v>
      </c>
      <c r="U55" s="29" t="s">
        <v>17</v>
      </c>
      <c r="V55" s="39">
        <v>29.714899805524372</v>
      </c>
      <c r="W55" s="16"/>
      <c r="X55" s="16"/>
      <c r="Y55" s="16"/>
      <c r="Z55" s="16"/>
      <c r="AA55" s="16"/>
    </row>
    <row r="56" spans="1:28" x14ac:dyDescent="0.3">
      <c r="A56" s="15"/>
      <c r="B56" s="16"/>
      <c r="C56" s="16"/>
      <c r="D56" s="16"/>
      <c r="E56" s="16"/>
      <c r="F56" s="15"/>
      <c r="G56" s="15"/>
      <c r="H56" s="16"/>
      <c r="I56" s="16"/>
      <c r="J56" s="15"/>
      <c r="K56" s="47"/>
      <c r="L56" s="15"/>
      <c r="M56" s="28"/>
      <c r="N56" s="28"/>
      <c r="O56" s="28"/>
      <c r="P56" s="28"/>
      <c r="Q56" s="28"/>
      <c r="R56" s="16"/>
      <c r="S56" s="29" t="s">
        <v>19</v>
      </c>
      <c r="T56" s="39">
        <v>44.446666666666665</v>
      </c>
      <c r="U56" s="29" t="s">
        <v>19</v>
      </c>
      <c r="V56" s="39">
        <v>30.822994210090982</v>
      </c>
      <c r="W56" s="16"/>
      <c r="X56" s="16"/>
      <c r="Y56" s="16"/>
      <c r="Z56" s="16"/>
      <c r="AA56" s="16"/>
    </row>
    <row r="57" spans="1:28" x14ac:dyDescent="0.3">
      <c r="A57" s="15"/>
      <c r="B57" s="16"/>
      <c r="C57" s="16"/>
      <c r="D57" s="16"/>
      <c r="E57" s="16"/>
      <c r="F57" s="15"/>
      <c r="G57" s="15"/>
      <c r="H57" s="16"/>
      <c r="I57" s="16"/>
      <c r="J57" s="15"/>
      <c r="K57" s="47"/>
      <c r="L57" s="15"/>
      <c r="M57" s="28"/>
      <c r="N57" s="28"/>
      <c r="O57" s="28"/>
      <c r="P57" s="28"/>
      <c r="Q57" s="28"/>
      <c r="R57" s="16"/>
      <c r="S57" s="29" t="s">
        <v>21</v>
      </c>
      <c r="T57" s="39">
        <v>12.5</v>
      </c>
      <c r="U57" s="29" t="s">
        <v>21</v>
      </c>
      <c r="V57" s="39">
        <v>0.15479876160990708</v>
      </c>
      <c r="W57" s="16"/>
      <c r="X57" s="16"/>
      <c r="Y57" s="16"/>
      <c r="Z57" s="16"/>
      <c r="AA57" s="16"/>
    </row>
    <row r="58" spans="1:28" x14ac:dyDescent="0.3">
      <c r="A58" s="16"/>
      <c r="B58" s="16"/>
      <c r="C58" s="16"/>
      <c r="D58" s="16"/>
      <c r="E58" s="16"/>
      <c r="F58" s="15"/>
      <c r="G58" s="15"/>
      <c r="H58" s="16"/>
      <c r="I58" s="16"/>
      <c r="J58" s="15"/>
      <c r="K58" s="47"/>
      <c r="L58" s="15"/>
      <c r="M58" s="28"/>
      <c r="N58" s="28"/>
      <c r="O58" s="28"/>
      <c r="P58" s="28"/>
      <c r="Q58" s="28"/>
      <c r="R58" s="16"/>
      <c r="S58" s="29" t="s">
        <v>23</v>
      </c>
      <c r="T58" s="39">
        <v>28.703333333333333</v>
      </c>
      <c r="U58" s="29" t="s">
        <v>23</v>
      </c>
      <c r="V58" s="39">
        <v>1.3965798980205326</v>
      </c>
      <c r="W58" s="16"/>
      <c r="X58" s="16"/>
      <c r="Y58" s="16"/>
      <c r="Z58" s="16"/>
      <c r="AA58" s="16"/>
    </row>
    <row r="59" spans="1:28" x14ac:dyDescent="0.3">
      <c r="A59" s="16"/>
      <c r="B59" s="16"/>
      <c r="C59" s="16"/>
      <c r="D59" s="16"/>
      <c r="E59" s="16"/>
      <c r="F59" s="15"/>
      <c r="G59" s="15"/>
      <c r="H59" s="16"/>
      <c r="I59" s="16"/>
      <c r="J59" s="15"/>
      <c r="K59" s="47"/>
      <c r="L59" s="15"/>
      <c r="M59" s="28"/>
      <c r="N59" s="28"/>
      <c r="O59" s="28"/>
      <c r="P59" s="28"/>
      <c r="Q59" s="28"/>
      <c r="R59" s="16"/>
      <c r="S59" s="29" t="s">
        <v>25</v>
      </c>
      <c r="T59" s="39">
        <v>31.262999999999998</v>
      </c>
      <c r="U59" s="29" t="s">
        <v>25</v>
      </c>
      <c r="V59" s="39">
        <v>2.9320941345864333</v>
      </c>
      <c r="W59" s="16"/>
      <c r="X59" s="16"/>
      <c r="Y59" s="16"/>
      <c r="Z59" s="16"/>
      <c r="AA59" s="16"/>
    </row>
    <row r="60" spans="1:28" x14ac:dyDescent="0.3">
      <c r="A60" s="16"/>
      <c r="B60" s="16"/>
      <c r="C60" s="16"/>
      <c r="D60" s="16"/>
      <c r="E60" s="16"/>
      <c r="F60" s="15"/>
      <c r="G60" s="15"/>
      <c r="H60" s="16"/>
      <c r="I60" s="16"/>
      <c r="J60" s="15"/>
      <c r="K60" s="47"/>
      <c r="L60" s="15"/>
      <c r="M60" s="28"/>
      <c r="N60" s="28"/>
      <c r="O60" s="28"/>
      <c r="P60" s="28"/>
      <c r="Q60" s="28"/>
      <c r="R60" s="16"/>
      <c r="S60" s="29" t="s">
        <v>27</v>
      </c>
      <c r="T60" s="39">
        <v>52.464347826086957</v>
      </c>
      <c r="U60" s="29" t="s">
        <v>27</v>
      </c>
      <c r="V60" s="39">
        <v>2.9456062942739454</v>
      </c>
      <c r="W60" s="16"/>
      <c r="X60" s="16"/>
      <c r="Y60" s="16"/>
      <c r="Z60" s="16"/>
      <c r="AA60" s="16"/>
    </row>
    <row r="61" spans="1:28" x14ac:dyDescent="0.3">
      <c r="A61" s="16"/>
      <c r="B61" s="16"/>
      <c r="C61" s="16"/>
      <c r="D61" s="16"/>
      <c r="E61" s="16"/>
      <c r="F61" s="15"/>
      <c r="G61" s="15"/>
      <c r="H61" s="16"/>
      <c r="I61" s="16"/>
      <c r="J61" s="15"/>
      <c r="K61" s="47"/>
      <c r="L61" s="15"/>
      <c r="M61" s="28"/>
      <c r="N61" s="28"/>
      <c r="O61" s="28"/>
      <c r="P61" s="28"/>
      <c r="Q61" s="28"/>
      <c r="R61" s="16"/>
      <c r="S61" s="29" t="s">
        <v>29</v>
      </c>
      <c r="T61" s="39">
        <v>24.261764705882353</v>
      </c>
      <c r="U61" s="29" t="s">
        <v>29</v>
      </c>
      <c r="V61" s="39">
        <v>5.1320040425037545</v>
      </c>
      <c r="W61" s="16"/>
      <c r="X61" s="16"/>
      <c r="Y61" s="16"/>
      <c r="Z61" s="16"/>
      <c r="AA61" s="16"/>
    </row>
    <row r="62" spans="1:28" x14ac:dyDescent="0.3">
      <c r="A62" s="16"/>
      <c r="B62" s="16"/>
      <c r="C62" s="16"/>
      <c r="D62" s="16"/>
      <c r="E62" s="16"/>
      <c r="F62" s="15"/>
      <c r="G62" s="15"/>
      <c r="H62" s="16"/>
      <c r="I62" s="16"/>
      <c r="J62" s="15"/>
      <c r="K62" s="47"/>
      <c r="L62" s="15"/>
      <c r="M62" s="28"/>
      <c r="N62" s="28"/>
      <c r="O62" s="28"/>
      <c r="P62" s="28"/>
      <c r="Q62" s="28"/>
      <c r="R62" s="16"/>
      <c r="S62" s="29" t="s">
        <v>31</v>
      </c>
      <c r="T62" s="39">
        <v>14.28</v>
      </c>
      <c r="U62" s="29" t="s">
        <v>31</v>
      </c>
      <c r="V62" s="39">
        <v>2.2952625780389275</v>
      </c>
      <c r="W62" s="16"/>
      <c r="X62" s="16"/>
      <c r="Y62" s="16"/>
      <c r="Z62" s="16"/>
      <c r="AA62" s="16"/>
    </row>
    <row r="63" spans="1:28" x14ac:dyDescent="0.3">
      <c r="A63" s="16"/>
      <c r="B63" s="16"/>
      <c r="C63" s="16"/>
      <c r="D63" s="16"/>
      <c r="E63" s="16"/>
      <c r="F63" s="15"/>
      <c r="G63" s="15"/>
      <c r="H63" s="16"/>
      <c r="I63" s="16"/>
      <c r="J63" s="15"/>
      <c r="K63" s="47"/>
      <c r="L63" s="15"/>
      <c r="M63" s="28"/>
      <c r="N63" s="28"/>
      <c r="O63" s="28"/>
      <c r="P63" s="28"/>
      <c r="Q63" s="28"/>
      <c r="R63" s="16"/>
      <c r="S63" s="29" t="s">
        <v>33</v>
      </c>
      <c r="T63" s="39">
        <v>21.166</v>
      </c>
      <c r="U63" s="29" t="s">
        <v>33</v>
      </c>
      <c r="V63" s="39">
        <v>0.54235301102353961</v>
      </c>
      <c r="W63" s="16"/>
      <c r="X63" s="16"/>
      <c r="Y63" s="16"/>
      <c r="Z63" s="16"/>
      <c r="AA63" s="16"/>
    </row>
    <row r="64" spans="1:28" x14ac:dyDescent="0.3">
      <c r="A64" s="16"/>
      <c r="B64" s="16"/>
      <c r="C64" s="16"/>
      <c r="D64" s="16"/>
      <c r="E64" s="16"/>
      <c r="F64" s="15"/>
      <c r="G64" s="15"/>
      <c r="H64" s="16"/>
      <c r="I64" s="16"/>
      <c r="J64" s="15"/>
      <c r="K64" s="47"/>
      <c r="L64" s="15"/>
      <c r="M64" s="28"/>
      <c r="N64" s="28"/>
      <c r="O64" s="28"/>
      <c r="P64" s="28"/>
      <c r="Q64" s="28"/>
      <c r="R64" s="16"/>
      <c r="S64" s="29" t="s">
        <v>35</v>
      </c>
      <c r="T64" s="39">
        <v>38.886666666666663</v>
      </c>
      <c r="U64" s="29" t="s">
        <v>35</v>
      </c>
      <c r="V64" s="39">
        <v>27.458196600030846</v>
      </c>
      <c r="W64" s="16"/>
      <c r="X64" s="16"/>
      <c r="Y64" s="16"/>
      <c r="Z64" s="16"/>
      <c r="AA64" s="16"/>
    </row>
    <row r="65" spans="1:27" x14ac:dyDescent="0.3">
      <c r="A65" s="16"/>
      <c r="B65" s="16"/>
      <c r="C65" s="16"/>
      <c r="D65" s="16"/>
      <c r="E65" s="16"/>
      <c r="F65" s="15"/>
      <c r="G65" s="15"/>
      <c r="H65" s="16"/>
      <c r="I65" s="16"/>
      <c r="J65" s="15"/>
      <c r="K65" s="47"/>
      <c r="L65" s="15"/>
      <c r="M65" s="28"/>
      <c r="N65" s="28"/>
      <c r="O65" s="28"/>
      <c r="P65" s="28"/>
      <c r="Q65" s="28"/>
      <c r="R65" s="16"/>
      <c r="S65" s="29" t="s">
        <v>37</v>
      </c>
      <c r="T65" s="39">
        <v>40.376363636363642</v>
      </c>
      <c r="U65" s="29" t="s">
        <v>37</v>
      </c>
      <c r="V65" s="39">
        <v>0.59145806467192918</v>
      </c>
      <c r="W65" s="16"/>
      <c r="X65" s="16"/>
      <c r="Y65" s="16"/>
      <c r="Z65" s="16"/>
      <c r="AA65" s="16"/>
    </row>
    <row r="66" spans="1:27" x14ac:dyDescent="0.3">
      <c r="A66" s="16"/>
      <c r="B66" s="16"/>
      <c r="C66" s="16"/>
      <c r="D66" s="16"/>
      <c r="E66" s="16"/>
      <c r="F66" s="15"/>
      <c r="G66" s="15"/>
      <c r="H66" s="16"/>
      <c r="I66" s="16"/>
      <c r="J66" s="15"/>
      <c r="K66" s="47"/>
      <c r="L66" s="15"/>
      <c r="M66" s="28"/>
      <c r="N66" s="28"/>
      <c r="O66" s="28"/>
      <c r="P66" s="28"/>
      <c r="Q66" s="28"/>
      <c r="R66" s="16"/>
      <c r="S66" s="29" t="s">
        <v>39</v>
      </c>
      <c r="T66" s="39">
        <v>22.22</v>
      </c>
      <c r="U66" s="29" t="s">
        <v>39</v>
      </c>
      <c r="V66" s="39">
        <v>18.214936247723131</v>
      </c>
      <c r="W66" s="16"/>
      <c r="X66" s="16"/>
      <c r="Y66" s="16"/>
      <c r="Z66" s="16"/>
      <c r="AA66" s="16"/>
    </row>
    <row r="67" spans="1:27" x14ac:dyDescent="0.3">
      <c r="A67" s="16"/>
      <c r="B67" s="16"/>
      <c r="C67" s="16"/>
      <c r="D67" s="16"/>
      <c r="E67" s="16"/>
      <c r="F67" s="15"/>
      <c r="G67" s="15"/>
      <c r="H67" s="16"/>
      <c r="I67" s="16"/>
      <c r="J67" s="15"/>
      <c r="K67" s="47"/>
      <c r="L67" s="15"/>
      <c r="M67" s="28"/>
      <c r="N67" s="28"/>
      <c r="O67" s="28"/>
      <c r="P67" s="28"/>
      <c r="Q67" s="28"/>
      <c r="R67" s="16"/>
      <c r="S67" s="29" t="s">
        <v>41</v>
      </c>
      <c r="T67" s="39">
        <v>50</v>
      </c>
      <c r="U67" s="29" t="s">
        <v>41</v>
      </c>
      <c r="V67" s="39">
        <v>0.63694267515923564</v>
      </c>
      <c r="W67" s="16"/>
      <c r="X67" s="16"/>
      <c r="Y67" s="16"/>
      <c r="Z67" s="16"/>
      <c r="AA67" s="16"/>
    </row>
    <row r="68" spans="1:27" x14ac:dyDescent="0.3">
      <c r="A68" s="16"/>
      <c r="B68" s="16"/>
      <c r="C68" s="16"/>
      <c r="D68" s="16"/>
      <c r="E68" s="16"/>
      <c r="F68" s="15"/>
      <c r="G68" s="15"/>
      <c r="H68" s="16"/>
      <c r="I68" s="16"/>
      <c r="J68" s="15"/>
      <c r="K68" s="47"/>
      <c r="L68" s="15"/>
      <c r="M68" s="28"/>
      <c r="N68" s="28"/>
      <c r="O68" s="28"/>
      <c r="P68" s="28"/>
      <c r="Q68" s="28"/>
      <c r="R68" s="16"/>
      <c r="S68" s="48"/>
      <c r="T68" s="28"/>
      <c r="U68" s="48"/>
      <c r="V68" s="28"/>
      <c r="W68" s="16"/>
      <c r="X68" s="16"/>
      <c r="Y68" s="16"/>
      <c r="Z68" s="16"/>
      <c r="AA68" s="16"/>
    </row>
    <row r="69" spans="1:27" x14ac:dyDescent="0.3">
      <c r="A69" s="16"/>
      <c r="B69" s="16"/>
      <c r="C69" s="16"/>
      <c r="D69" s="16"/>
      <c r="E69" s="16"/>
      <c r="F69" s="15"/>
      <c r="G69" s="15"/>
      <c r="H69" s="16"/>
      <c r="I69" s="16"/>
      <c r="J69" s="15"/>
      <c r="K69" s="47"/>
      <c r="L69" s="15"/>
      <c r="M69" s="28"/>
      <c r="N69" s="28"/>
      <c r="O69" s="28"/>
      <c r="P69" s="28"/>
      <c r="Q69" s="28"/>
      <c r="R69" s="16"/>
      <c r="S69" s="48"/>
      <c r="T69" s="28"/>
      <c r="U69" s="48"/>
      <c r="V69" s="28"/>
      <c r="W69" s="16"/>
      <c r="X69" s="16"/>
      <c r="Y69" s="16"/>
      <c r="Z69" s="16"/>
      <c r="AA69" s="16"/>
    </row>
    <row r="70" spans="1:27" x14ac:dyDescent="0.3">
      <c r="A70" s="16"/>
      <c r="B70" s="16"/>
      <c r="C70" s="16"/>
      <c r="D70" s="16"/>
      <c r="E70" s="16"/>
      <c r="F70" s="15"/>
      <c r="G70" s="15"/>
      <c r="H70" s="16"/>
      <c r="I70" s="16"/>
      <c r="J70" s="16"/>
      <c r="K70" s="48"/>
      <c r="L70" s="28"/>
      <c r="M70" s="16"/>
      <c r="N70" s="16"/>
      <c r="O70" s="16"/>
      <c r="P70" s="16"/>
      <c r="Q70" s="16"/>
      <c r="R70" s="16"/>
      <c r="S70" s="48"/>
      <c r="T70" s="28"/>
      <c r="U70" s="48"/>
      <c r="V70" s="28"/>
      <c r="W70" s="16"/>
      <c r="X70" s="16"/>
      <c r="Y70" s="16"/>
      <c r="Z70" s="16"/>
      <c r="AA70" s="16"/>
    </row>
    <row r="71" spans="1:27" x14ac:dyDescent="0.3">
      <c r="A71" s="16"/>
      <c r="B71" s="16"/>
      <c r="C71" s="16"/>
      <c r="D71" s="16"/>
      <c r="E71" s="16"/>
      <c r="F71" s="15"/>
      <c r="G71" s="15"/>
      <c r="H71" s="16"/>
      <c r="I71" s="16"/>
      <c r="J71" s="16"/>
      <c r="K71" s="48"/>
      <c r="L71" s="28"/>
      <c r="M71" s="16"/>
      <c r="N71" s="16"/>
      <c r="O71" s="16"/>
      <c r="P71" s="16"/>
      <c r="Q71" s="16"/>
      <c r="R71" s="16"/>
      <c r="S71" s="48"/>
      <c r="T71" s="28"/>
      <c r="U71" s="48"/>
      <c r="V71" s="28"/>
      <c r="W71" s="16"/>
      <c r="X71" s="16"/>
      <c r="Y71" s="16"/>
      <c r="Z71" s="16"/>
      <c r="AA71" s="16"/>
    </row>
    <row r="72" spans="1:27" x14ac:dyDescent="0.3">
      <c r="A72" s="16"/>
      <c r="B72" s="16"/>
      <c r="C72" s="16"/>
      <c r="D72" s="16"/>
      <c r="E72" s="16"/>
      <c r="F72" s="15"/>
      <c r="G72" s="15"/>
      <c r="H72" s="16"/>
      <c r="I72" s="16"/>
      <c r="J72" s="16"/>
      <c r="K72" s="48"/>
      <c r="L72" s="28"/>
      <c r="M72" s="16"/>
      <c r="N72" s="16"/>
      <c r="O72" s="16"/>
      <c r="P72" s="16"/>
      <c r="Q72" s="16"/>
      <c r="R72" s="16"/>
      <c r="S72" s="48"/>
      <c r="T72" s="28"/>
      <c r="U72" s="48"/>
      <c r="V72" s="28"/>
      <c r="W72" s="16"/>
      <c r="X72" s="16"/>
      <c r="Y72" s="16"/>
      <c r="Z72" s="16"/>
      <c r="AA72" s="16"/>
    </row>
    <row r="73" spans="1:27" x14ac:dyDescent="0.3">
      <c r="A73" s="16"/>
      <c r="B73" s="16"/>
      <c r="C73" s="16"/>
      <c r="D73" s="16"/>
      <c r="E73" s="16"/>
      <c r="F73" s="15"/>
      <c r="G73" s="15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x14ac:dyDescent="0.3">
      <c r="A74" s="16"/>
      <c r="B74" s="16"/>
      <c r="C74" s="16"/>
      <c r="D74" s="16"/>
      <c r="E74" s="16"/>
      <c r="F74" s="15"/>
      <c r="G74" s="15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x14ac:dyDescent="0.3">
      <c r="A75" s="16"/>
      <c r="B75" s="16"/>
      <c r="C75" s="16"/>
      <c r="D75" s="16"/>
      <c r="E75" s="16"/>
      <c r="F75" s="15"/>
      <c r="G75" s="15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x14ac:dyDescent="0.3">
      <c r="A76" s="16"/>
      <c r="B76" s="16"/>
      <c r="C76" s="16"/>
      <c r="D76" s="16"/>
      <c r="E76" s="16"/>
      <c r="F76" s="15"/>
      <c r="G76" s="15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x14ac:dyDescent="0.3">
      <c r="A77" s="16"/>
      <c r="B77" s="16"/>
      <c r="C77" s="16"/>
      <c r="D77" s="16"/>
      <c r="E77" s="16"/>
      <c r="F77" s="15"/>
      <c r="G77" s="15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x14ac:dyDescent="0.3">
      <c r="A78" s="16"/>
      <c r="B78" s="16"/>
      <c r="C78" s="16"/>
      <c r="D78" s="16"/>
      <c r="E78" s="16"/>
      <c r="F78" s="15"/>
      <c r="G78" s="15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x14ac:dyDescent="0.3">
      <c r="A79" s="16"/>
      <c r="B79" s="16"/>
      <c r="C79" s="16"/>
      <c r="D79" s="16"/>
      <c r="E79" s="16"/>
      <c r="F79" s="15"/>
      <c r="G79" s="15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x14ac:dyDescent="0.3">
      <c r="A80" s="16"/>
      <c r="B80" s="16"/>
      <c r="C80" s="16"/>
      <c r="D80" s="16"/>
      <c r="E80" s="16"/>
      <c r="F80" s="15"/>
      <c r="G80" s="15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x14ac:dyDescent="0.3">
      <c r="A81" s="16"/>
      <c r="B81" s="16"/>
      <c r="C81" s="16"/>
      <c r="D81" s="16"/>
      <c r="E81" s="16"/>
      <c r="F81" s="15"/>
      <c r="G81" s="15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x14ac:dyDescent="0.3">
      <c r="A82" s="16"/>
      <c r="B82" s="16"/>
      <c r="C82" s="16"/>
      <c r="D82" s="16"/>
      <c r="E82" s="16"/>
      <c r="F82" s="15"/>
      <c r="G82" s="15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</sheetData>
  <mergeCells count="17">
    <mergeCell ref="L52:M52"/>
    <mergeCell ref="J52:K52"/>
    <mergeCell ref="B28:C28"/>
    <mergeCell ref="D28:E28"/>
    <mergeCell ref="B1:C1"/>
    <mergeCell ref="D1:E1"/>
    <mergeCell ref="F1:G1"/>
    <mergeCell ref="H1:I1"/>
    <mergeCell ref="J1:K1"/>
    <mergeCell ref="M1:N1"/>
    <mergeCell ref="AA49:AB49"/>
    <mergeCell ref="O1:P1"/>
    <mergeCell ref="S47:T47"/>
    <mergeCell ref="U47:V47"/>
    <mergeCell ref="M23:N23"/>
    <mergeCell ref="O23:P23"/>
    <mergeCell ref="S1:T1"/>
  </mergeCells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8"/>
  <sheetViews>
    <sheetView topLeftCell="B1" zoomScale="70" zoomScaleNormal="70" workbookViewId="0">
      <selection activeCell="N35" sqref="N35"/>
    </sheetView>
  </sheetViews>
  <sheetFormatPr defaultRowHeight="14.4" x14ac:dyDescent="0.3"/>
  <cols>
    <col min="1" max="1" width="27.33203125" customWidth="1"/>
    <col min="2" max="2" width="18.33203125" customWidth="1"/>
    <col min="3" max="3" width="12" customWidth="1"/>
    <col min="4" max="4" width="12.33203125" customWidth="1"/>
    <col min="6" max="6" width="14" customWidth="1"/>
    <col min="7" max="8" width="15.33203125" customWidth="1"/>
    <col min="9" max="9" width="15" customWidth="1"/>
    <col min="10" max="10" width="17.6640625" customWidth="1"/>
    <col min="11" max="11" width="16.5546875" customWidth="1"/>
  </cols>
  <sheetData>
    <row r="1" spans="1:11" ht="15.6" x14ac:dyDescent="0.3">
      <c r="A1" s="52" t="s">
        <v>92</v>
      </c>
      <c r="B1" s="147" t="s">
        <v>93</v>
      </c>
      <c r="C1" s="148"/>
      <c r="D1" s="149" t="s">
        <v>94</v>
      </c>
      <c r="E1" s="150"/>
      <c r="F1" s="147" t="s">
        <v>88</v>
      </c>
      <c r="G1" s="148"/>
      <c r="H1" s="147" t="s">
        <v>95</v>
      </c>
      <c r="I1" s="148"/>
      <c r="J1" s="147" t="s">
        <v>96</v>
      </c>
      <c r="K1" s="148"/>
    </row>
    <row r="2" spans="1:11" ht="15.6" x14ac:dyDescent="0.3">
      <c r="A2" s="54"/>
      <c r="B2" s="106" t="s">
        <v>98</v>
      </c>
      <c r="C2" s="106" t="s">
        <v>99</v>
      </c>
      <c r="D2" s="106" t="s">
        <v>94</v>
      </c>
      <c r="E2" s="107" t="s">
        <v>100</v>
      </c>
      <c r="F2" s="107" t="s">
        <v>101</v>
      </c>
      <c r="G2" s="108" t="s">
        <v>102</v>
      </c>
      <c r="H2" s="108" t="s">
        <v>101</v>
      </c>
      <c r="I2" s="108" t="s">
        <v>102</v>
      </c>
      <c r="J2" s="106" t="s">
        <v>101</v>
      </c>
      <c r="K2" s="106" t="s">
        <v>102</v>
      </c>
    </row>
    <row r="3" spans="1:11" x14ac:dyDescent="0.3">
      <c r="A3" s="17" t="s">
        <v>103</v>
      </c>
      <c r="B3" s="18">
        <v>45</v>
      </c>
      <c r="C3" s="21">
        <f>B3/77*100</f>
        <v>58.441558441558442</v>
      </c>
      <c r="D3" s="18">
        <f>SUM(D4:D5)</f>
        <v>48</v>
      </c>
      <c r="E3" s="20">
        <f>D3/425*100</f>
        <v>11.294117647058824</v>
      </c>
      <c r="F3" s="21" t="s">
        <v>104</v>
      </c>
      <c r="G3" s="22" t="s">
        <v>104</v>
      </c>
      <c r="H3" s="23" t="s">
        <v>104</v>
      </c>
      <c r="I3" s="23" t="s">
        <v>104</v>
      </c>
      <c r="J3" s="56">
        <f>SUM(J4:J5)</f>
        <v>30.720000000000002</v>
      </c>
      <c r="K3" s="56">
        <f>SUM(K4:K5)</f>
        <v>35.190000000000005</v>
      </c>
    </row>
    <row r="4" spans="1:11" x14ac:dyDescent="0.3">
      <c r="A4" s="26" t="s">
        <v>110</v>
      </c>
      <c r="B4" s="18">
        <v>7</v>
      </c>
      <c r="C4" s="21">
        <f t="shared" ref="C4:C26" si="0">B4/77*100</f>
        <v>9.0909090909090917</v>
      </c>
      <c r="D4" s="18">
        <v>7</v>
      </c>
      <c r="E4" s="20">
        <f t="shared" ref="E4:E27" si="1">D4/425*100</f>
        <v>1.6470588235294119</v>
      </c>
      <c r="F4" s="21">
        <v>22.77</v>
      </c>
      <c r="G4" s="27">
        <v>25.36</v>
      </c>
      <c r="H4" s="23">
        <v>57.65</v>
      </c>
      <c r="I4" s="21">
        <v>58.27</v>
      </c>
      <c r="J4" s="57">
        <v>3.66</v>
      </c>
      <c r="K4" s="57">
        <v>3.8</v>
      </c>
    </row>
    <row r="5" spans="1:11" x14ac:dyDescent="0.3">
      <c r="A5" s="26" t="s">
        <v>112</v>
      </c>
      <c r="B5" s="18">
        <v>38</v>
      </c>
      <c r="C5" s="21">
        <f t="shared" si="0"/>
        <v>49.350649350649348</v>
      </c>
      <c r="D5" s="18">
        <f>SUM(D6:D8)</f>
        <v>41</v>
      </c>
      <c r="E5" s="20">
        <f t="shared" si="1"/>
        <v>9.6470588235294112</v>
      </c>
      <c r="F5" s="21" t="s">
        <v>104</v>
      </c>
      <c r="G5" s="22" t="s">
        <v>104</v>
      </c>
      <c r="H5" s="23" t="s">
        <v>104</v>
      </c>
      <c r="I5" s="23" t="s">
        <v>104</v>
      </c>
      <c r="J5" s="56">
        <f>SUM(J6:J8)</f>
        <v>27.060000000000002</v>
      </c>
      <c r="K5" s="56">
        <f>SUM(K6:K8)</f>
        <v>31.390000000000004</v>
      </c>
    </row>
    <row r="6" spans="1:11" x14ac:dyDescent="0.3">
      <c r="A6" s="26" t="s">
        <v>114</v>
      </c>
      <c r="B6" s="18">
        <v>11</v>
      </c>
      <c r="C6" s="21">
        <f t="shared" si="0"/>
        <v>14.285714285714285</v>
      </c>
      <c r="D6" s="18">
        <v>11</v>
      </c>
      <c r="E6" s="20">
        <f t="shared" si="1"/>
        <v>2.5882352941176472</v>
      </c>
      <c r="F6" s="21">
        <v>29.85</v>
      </c>
      <c r="G6" s="34">
        <v>47</v>
      </c>
      <c r="H6" s="23">
        <v>89.19</v>
      </c>
      <c r="I6" s="21">
        <v>91.37</v>
      </c>
      <c r="J6" s="57">
        <v>8.5</v>
      </c>
      <c r="K6" s="57">
        <v>9.8800000000000008</v>
      </c>
    </row>
    <row r="7" spans="1:11" x14ac:dyDescent="0.3">
      <c r="A7" s="35" t="s">
        <v>116</v>
      </c>
      <c r="B7" s="19">
        <v>14</v>
      </c>
      <c r="C7" s="21">
        <f t="shared" si="0"/>
        <v>18.181818181818183</v>
      </c>
      <c r="D7" s="18">
        <v>15</v>
      </c>
      <c r="E7" s="20">
        <f t="shared" si="1"/>
        <v>3.5294117647058822</v>
      </c>
      <c r="F7" s="21">
        <v>27.52</v>
      </c>
      <c r="G7" s="34">
        <v>45.88</v>
      </c>
      <c r="H7" s="23">
        <v>71.45</v>
      </c>
      <c r="I7" s="21">
        <v>74.63</v>
      </c>
      <c r="J7" s="57">
        <v>9</v>
      </c>
      <c r="K7" s="57">
        <v>10.96</v>
      </c>
    </row>
    <row r="8" spans="1:11" x14ac:dyDescent="0.3">
      <c r="A8" s="35" t="s">
        <v>118</v>
      </c>
      <c r="B8" s="19">
        <v>15</v>
      </c>
      <c r="C8" s="21">
        <f t="shared" si="0"/>
        <v>19.480519480519483</v>
      </c>
      <c r="D8" s="18">
        <v>15</v>
      </c>
      <c r="E8" s="20">
        <f t="shared" si="1"/>
        <v>3.5294117647058822</v>
      </c>
      <c r="F8" s="21">
        <v>25.71</v>
      </c>
      <c r="G8" s="34">
        <v>34.08</v>
      </c>
      <c r="H8" s="23">
        <v>72.45</v>
      </c>
      <c r="I8" s="21">
        <v>74.23</v>
      </c>
      <c r="J8" s="57">
        <v>9.56</v>
      </c>
      <c r="K8" s="57">
        <v>10.55</v>
      </c>
    </row>
    <row r="9" spans="1:11" x14ac:dyDescent="0.3">
      <c r="A9" s="17" t="s">
        <v>120</v>
      </c>
      <c r="B9" s="18">
        <v>48</v>
      </c>
      <c r="C9" s="21">
        <f t="shared" si="0"/>
        <v>62.337662337662337</v>
      </c>
      <c r="D9" s="18">
        <v>59</v>
      </c>
      <c r="E9" s="20">
        <f t="shared" si="1"/>
        <v>13.882352941176471</v>
      </c>
      <c r="F9" s="18" t="s">
        <v>104</v>
      </c>
      <c r="G9" s="23" t="s">
        <v>104</v>
      </c>
      <c r="H9" s="23" t="s">
        <v>104</v>
      </c>
      <c r="I9" s="23" t="s">
        <v>104</v>
      </c>
      <c r="J9" s="56">
        <v>15.63</v>
      </c>
      <c r="K9" s="56">
        <v>18.78</v>
      </c>
    </row>
    <row r="10" spans="1:11" x14ac:dyDescent="0.3">
      <c r="A10" s="17" t="s">
        <v>121</v>
      </c>
      <c r="B10" s="18">
        <v>48</v>
      </c>
      <c r="C10" s="21">
        <f t="shared" si="0"/>
        <v>62.337662337662337</v>
      </c>
      <c r="D10" s="18">
        <v>59</v>
      </c>
      <c r="E10" s="20">
        <f t="shared" si="1"/>
        <v>13.882352941176471</v>
      </c>
      <c r="F10" s="21">
        <v>29.88</v>
      </c>
      <c r="G10" s="22">
        <v>39.15</v>
      </c>
      <c r="H10" s="23">
        <v>20.27</v>
      </c>
      <c r="I10" s="23">
        <v>21.09</v>
      </c>
      <c r="J10" s="57">
        <v>15.63</v>
      </c>
      <c r="K10" s="57">
        <v>18.78</v>
      </c>
    </row>
    <row r="11" spans="1:11" x14ac:dyDescent="0.3">
      <c r="A11" s="17" t="s">
        <v>15</v>
      </c>
      <c r="B11" s="18">
        <v>42</v>
      </c>
      <c r="C11" s="21">
        <f t="shared" si="0"/>
        <v>54.54545454545454</v>
      </c>
      <c r="D11" s="18">
        <v>44</v>
      </c>
      <c r="E11" s="20">
        <f t="shared" si="1"/>
        <v>10.352941176470589</v>
      </c>
      <c r="F11" s="21">
        <v>29.58</v>
      </c>
      <c r="G11" s="22">
        <v>39.15</v>
      </c>
      <c r="H11" s="23">
        <v>64</v>
      </c>
      <c r="I11" s="23">
        <v>65.48</v>
      </c>
      <c r="J11" s="56">
        <v>25.52</v>
      </c>
      <c r="K11" s="56">
        <v>28.54</v>
      </c>
    </row>
    <row r="12" spans="1:11" x14ac:dyDescent="0.3">
      <c r="A12" s="17" t="s">
        <v>19</v>
      </c>
      <c r="B12" s="18">
        <v>3</v>
      </c>
      <c r="C12" s="21">
        <f t="shared" si="0"/>
        <v>3.8961038961038961</v>
      </c>
      <c r="D12" s="18">
        <v>4</v>
      </c>
      <c r="E12" s="20">
        <f t="shared" si="1"/>
        <v>0.94117647058823517</v>
      </c>
      <c r="F12" s="21">
        <v>44.45</v>
      </c>
      <c r="G12" s="22">
        <v>45.56</v>
      </c>
      <c r="H12" s="23">
        <v>30.82</v>
      </c>
      <c r="I12" s="23">
        <v>53.99</v>
      </c>
      <c r="J12" s="57">
        <v>1.47</v>
      </c>
      <c r="K12" s="57">
        <v>1.94</v>
      </c>
    </row>
    <row r="13" spans="1:11" x14ac:dyDescent="0.3">
      <c r="A13" s="17" t="s">
        <v>122</v>
      </c>
      <c r="B13" s="18">
        <v>1</v>
      </c>
      <c r="C13" s="21">
        <f t="shared" si="0"/>
        <v>1.2987012987012987</v>
      </c>
      <c r="D13" s="18">
        <v>1</v>
      </c>
      <c r="E13" s="20">
        <f t="shared" si="1"/>
        <v>0.23529411764705879</v>
      </c>
      <c r="F13" s="21">
        <v>12.5</v>
      </c>
      <c r="G13" s="22">
        <v>14.29</v>
      </c>
      <c r="H13" s="23">
        <v>0.15</v>
      </c>
      <c r="I13" s="23">
        <v>0.16</v>
      </c>
      <c r="J13" s="57">
        <v>0.08</v>
      </c>
      <c r="K13" s="57">
        <v>0.09</v>
      </c>
    </row>
    <row r="14" spans="1:11" x14ac:dyDescent="0.3">
      <c r="A14" s="17" t="s">
        <v>23</v>
      </c>
      <c r="B14" s="18">
        <v>3</v>
      </c>
      <c r="C14" s="21">
        <f t="shared" si="0"/>
        <v>3.8961038961038961</v>
      </c>
      <c r="D14" s="18">
        <v>6</v>
      </c>
      <c r="E14" s="20">
        <f t="shared" si="1"/>
        <v>1.411764705882353</v>
      </c>
      <c r="F14" s="21">
        <v>28.7</v>
      </c>
      <c r="G14" s="22">
        <v>34.33</v>
      </c>
      <c r="H14" s="23">
        <v>1.4</v>
      </c>
      <c r="I14" s="23">
        <v>1.58</v>
      </c>
      <c r="J14" s="57">
        <v>0.59</v>
      </c>
      <c r="K14" s="57">
        <v>0.7</v>
      </c>
    </row>
    <row r="15" spans="1:11" x14ac:dyDescent="0.3">
      <c r="A15" s="17" t="s">
        <v>123</v>
      </c>
      <c r="B15" s="18">
        <v>36</v>
      </c>
      <c r="C15" s="21">
        <f t="shared" si="0"/>
        <v>46.753246753246749</v>
      </c>
      <c r="D15" s="18">
        <f>SUM(D16:D18)</f>
        <v>105</v>
      </c>
      <c r="E15" s="20">
        <f t="shared" si="1"/>
        <v>24.705882352941178</v>
      </c>
      <c r="F15" s="18" t="s">
        <v>104</v>
      </c>
      <c r="G15" s="23" t="s">
        <v>104</v>
      </c>
      <c r="H15" s="23" t="s">
        <v>104</v>
      </c>
      <c r="I15" s="23" t="s">
        <v>104</v>
      </c>
      <c r="J15" s="57">
        <f>SUM(J16:J18)</f>
        <v>11.1</v>
      </c>
      <c r="K15" s="57">
        <f>SUM(K16:K18)</f>
        <v>13.499999999999998</v>
      </c>
    </row>
    <row r="16" spans="1:11" x14ac:dyDescent="0.3">
      <c r="A16" s="26" t="s">
        <v>124</v>
      </c>
      <c r="B16" s="18">
        <v>7</v>
      </c>
      <c r="C16" s="21">
        <f>B16/77*100</f>
        <v>9.0909090909090917</v>
      </c>
      <c r="D16" s="18">
        <v>7</v>
      </c>
      <c r="E16" s="20">
        <f t="shared" si="1"/>
        <v>1.6470588235294119</v>
      </c>
      <c r="F16" s="21">
        <v>26.51</v>
      </c>
      <c r="G16" s="22">
        <v>37.03</v>
      </c>
      <c r="H16" s="23">
        <v>29.71</v>
      </c>
      <c r="I16" s="23">
        <v>24.62</v>
      </c>
      <c r="J16" s="57">
        <v>2.56</v>
      </c>
      <c r="K16" s="57">
        <v>2.8</v>
      </c>
    </row>
    <row r="17" spans="1:11" x14ac:dyDescent="0.3">
      <c r="A17" s="17" t="s">
        <v>125</v>
      </c>
      <c r="B17" s="18">
        <v>1</v>
      </c>
      <c r="C17" s="21">
        <f t="shared" si="0"/>
        <v>1.2987012987012987</v>
      </c>
      <c r="D17" s="18">
        <v>1</v>
      </c>
      <c r="E17" s="20">
        <f t="shared" si="1"/>
        <v>0.23529411764705879</v>
      </c>
      <c r="F17" s="21">
        <v>14.28</v>
      </c>
      <c r="G17" s="22">
        <v>20</v>
      </c>
      <c r="H17" s="23">
        <v>2.2999999999999998</v>
      </c>
      <c r="I17" s="23">
        <v>2.3199999999999998</v>
      </c>
      <c r="J17" s="57">
        <v>0.11</v>
      </c>
      <c r="K17" s="57">
        <v>0.14000000000000001</v>
      </c>
    </row>
    <row r="18" spans="1:11" x14ac:dyDescent="0.3">
      <c r="A18" s="26" t="s">
        <v>127</v>
      </c>
      <c r="B18" s="18">
        <v>30</v>
      </c>
      <c r="C18" s="21">
        <f t="shared" si="0"/>
        <v>38.961038961038966</v>
      </c>
      <c r="D18" s="18">
        <f>SUM(D19:D23)</f>
        <v>97</v>
      </c>
      <c r="E18" s="20">
        <f t="shared" si="1"/>
        <v>22.823529411764707</v>
      </c>
      <c r="F18" s="18" t="s">
        <v>104</v>
      </c>
      <c r="G18" s="23" t="s">
        <v>104</v>
      </c>
      <c r="H18" s="23" t="s">
        <v>104</v>
      </c>
      <c r="I18" s="23" t="s">
        <v>104</v>
      </c>
      <c r="J18" s="56">
        <f>SUM(J19:J23)</f>
        <v>8.43</v>
      </c>
      <c r="K18" s="56">
        <f>SUM(K19:K23)</f>
        <v>10.559999999999999</v>
      </c>
    </row>
    <row r="19" spans="1:11" x14ac:dyDescent="0.3">
      <c r="A19" s="17" t="s">
        <v>129</v>
      </c>
      <c r="B19" s="18">
        <v>5</v>
      </c>
      <c r="C19" s="21">
        <f t="shared" si="0"/>
        <v>6.4935064935064926</v>
      </c>
      <c r="D19" s="18">
        <v>5</v>
      </c>
      <c r="E19" s="20">
        <f t="shared" si="1"/>
        <v>1.1764705882352942</v>
      </c>
      <c r="F19" s="21">
        <v>21.17</v>
      </c>
      <c r="G19" s="22">
        <v>34.93</v>
      </c>
      <c r="H19" s="23">
        <v>0.54</v>
      </c>
      <c r="I19" s="23">
        <v>0.56000000000000005</v>
      </c>
      <c r="J19" s="57">
        <v>0.7</v>
      </c>
      <c r="K19" s="57">
        <v>1.1499999999999999</v>
      </c>
    </row>
    <row r="20" spans="1:11" x14ac:dyDescent="0.3">
      <c r="A20" s="17" t="s">
        <v>130</v>
      </c>
      <c r="B20" s="18">
        <v>22</v>
      </c>
      <c r="C20" s="21">
        <f t="shared" si="0"/>
        <v>28.571428571428569</v>
      </c>
      <c r="D20" s="18">
        <v>82</v>
      </c>
      <c r="E20" s="20">
        <f t="shared" si="1"/>
        <v>19.294117647058822</v>
      </c>
      <c r="F20" s="21">
        <v>40.369999999999997</v>
      </c>
      <c r="G20" s="22">
        <v>50.25</v>
      </c>
      <c r="H20" s="23">
        <v>0.59</v>
      </c>
      <c r="I20" s="23">
        <v>0.66</v>
      </c>
      <c r="J20" s="57">
        <v>5.85</v>
      </c>
      <c r="K20" s="57">
        <v>7.27</v>
      </c>
    </row>
    <row r="21" spans="1:11" x14ac:dyDescent="0.3">
      <c r="A21" s="26" t="s">
        <v>131</v>
      </c>
      <c r="B21" s="18">
        <v>3</v>
      </c>
      <c r="C21" s="21">
        <f t="shared" si="0"/>
        <v>3.8961038961038961</v>
      </c>
      <c r="D21" s="18">
        <v>7</v>
      </c>
      <c r="E21" s="20">
        <f t="shared" si="1"/>
        <v>1.6470588235294119</v>
      </c>
      <c r="F21" s="21">
        <v>38.89</v>
      </c>
      <c r="G21" s="22">
        <v>48.61</v>
      </c>
      <c r="H21" s="23">
        <v>27.46</v>
      </c>
      <c r="I21" s="23">
        <v>29.27</v>
      </c>
      <c r="J21" s="57">
        <v>1.29</v>
      </c>
      <c r="K21" s="57">
        <v>1.52</v>
      </c>
    </row>
    <row r="22" spans="1:11" x14ac:dyDescent="0.3">
      <c r="A22" s="17" t="s">
        <v>133</v>
      </c>
      <c r="B22" s="18">
        <v>1</v>
      </c>
      <c r="C22" s="21">
        <f t="shared" si="0"/>
        <v>1.2987012987012987</v>
      </c>
      <c r="D22" s="18">
        <v>2</v>
      </c>
      <c r="E22" s="20">
        <f t="shared" si="1"/>
        <v>0.47058823529411759</v>
      </c>
      <c r="F22" s="21">
        <v>22.22</v>
      </c>
      <c r="G22" s="22">
        <v>25</v>
      </c>
      <c r="H22" s="23">
        <v>18.21</v>
      </c>
      <c r="I22" s="23">
        <v>19.55</v>
      </c>
      <c r="J22" s="57">
        <v>0.26</v>
      </c>
      <c r="K22" s="57">
        <v>0.28999999999999998</v>
      </c>
    </row>
    <row r="23" spans="1:11" x14ac:dyDescent="0.3">
      <c r="A23" s="17" t="s">
        <v>134</v>
      </c>
      <c r="B23" s="18">
        <v>1</v>
      </c>
      <c r="C23" s="21">
        <f t="shared" si="0"/>
        <v>1.2987012987012987</v>
      </c>
      <c r="D23" s="18">
        <v>1</v>
      </c>
      <c r="E23" s="20">
        <f t="shared" si="1"/>
        <v>0.23529411764705879</v>
      </c>
      <c r="F23" s="21">
        <v>50</v>
      </c>
      <c r="G23" s="22">
        <v>50</v>
      </c>
      <c r="H23" s="23">
        <v>0.64</v>
      </c>
      <c r="I23" s="23">
        <v>0.64</v>
      </c>
      <c r="J23" s="57">
        <v>0.33</v>
      </c>
      <c r="K23" s="57">
        <v>0.33</v>
      </c>
    </row>
    <row r="24" spans="1:11" x14ac:dyDescent="0.3">
      <c r="A24" s="17" t="s">
        <v>135</v>
      </c>
      <c r="B24" s="18">
        <v>56</v>
      </c>
      <c r="C24" s="21">
        <f t="shared" si="0"/>
        <v>72.727272727272734</v>
      </c>
      <c r="D24" s="18">
        <f>SUM(D25:D27)</f>
        <v>158</v>
      </c>
      <c r="E24" s="20">
        <f t="shared" si="1"/>
        <v>37.176470588235297</v>
      </c>
      <c r="F24" s="18" t="s">
        <v>104</v>
      </c>
      <c r="G24" s="23" t="s">
        <v>104</v>
      </c>
      <c r="H24" s="23" t="s">
        <v>104</v>
      </c>
      <c r="I24" s="23" t="s">
        <v>104</v>
      </c>
      <c r="J24" s="56">
        <f>SUM(J25:J27)</f>
        <v>16.27</v>
      </c>
      <c r="K24" s="18" t="s">
        <v>136</v>
      </c>
    </row>
    <row r="25" spans="1:11" x14ac:dyDescent="0.3">
      <c r="A25" s="26" t="s">
        <v>137</v>
      </c>
      <c r="B25" s="18">
        <v>20</v>
      </c>
      <c r="C25" s="21">
        <f t="shared" si="0"/>
        <v>25.97402597402597</v>
      </c>
      <c r="D25" s="18">
        <v>22</v>
      </c>
      <c r="E25" s="20">
        <f t="shared" si="1"/>
        <v>5.1764705882352944</v>
      </c>
      <c r="F25" s="21">
        <v>31.26</v>
      </c>
      <c r="G25" s="22" t="s">
        <v>104</v>
      </c>
      <c r="H25" s="23">
        <v>2.93</v>
      </c>
      <c r="I25" s="23" t="s">
        <v>104</v>
      </c>
      <c r="J25" s="57">
        <v>4.4400000000000004</v>
      </c>
      <c r="K25" s="18" t="s">
        <v>136</v>
      </c>
    </row>
    <row r="26" spans="1:11" x14ac:dyDescent="0.3">
      <c r="A26" s="26" t="s">
        <v>138</v>
      </c>
      <c r="B26" s="18">
        <v>23</v>
      </c>
      <c r="C26" s="21">
        <f t="shared" si="0"/>
        <v>29.870129870129869</v>
      </c>
      <c r="D26" s="18">
        <v>119</v>
      </c>
      <c r="E26" s="20">
        <f t="shared" si="1"/>
        <v>28.000000000000004</v>
      </c>
      <c r="F26" s="21">
        <v>52.46</v>
      </c>
      <c r="G26" s="22" t="s">
        <v>104</v>
      </c>
      <c r="H26" s="23">
        <v>2.95</v>
      </c>
      <c r="I26" s="23" t="s">
        <v>104</v>
      </c>
      <c r="J26" s="57">
        <v>8.2799999999999994</v>
      </c>
      <c r="K26" s="18" t="s">
        <v>136</v>
      </c>
    </row>
    <row r="27" spans="1:11" x14ac:dyDescent="0.3">
      <c r="A27" s="26" t="s">
        <v>139</v>
      </c>
      <c r="B27" s="18">
        <v>17</v>
      </c>
      <c r="C27" s="21">
        <f>B27/77*100</f>
        <v>22.077922077922079</v>
      </c>
      <c r="D27" s="18">
        <v>17</v>
      </c>
      <c r="E27" s="20">
        <f t="shared" si="1"/>
        <v>4</v>
      </c>
      <c r="F27" s="21">
        <v>27.01</v>
      </c>
      <c r="G27" s="22" t="s">
        <v>104</v>
      </c>
      <c r="H27" s="23">
        <v>5.13</v>
      </c>
      <c r="I27" s="23" t="s">
        <v>104</v>
      </c>
      <c r="J27" s="57">
        <v>3.55</v>
      </c>
      <c r="K27" s="18" t="s">
        <v>136</v>
      </c>
    </row>
    <row r="28" spans="1:11" x14ac:dyDescent="0.3">
      <c r="A28" s="17" t="s">
        <v>83</v>
      </c>
      <c r="B28" s="144" t="s">
        <v>140</v>
      </c>
      <c r="C28" s="144"/>
      <c r="D28" s="145" t="s">
        <v>141</v>
      </c>
      <c r="E28" s="146"/>
      <c r="F28" s="111"/>
      <c r="G28" s="40"/>
      <c r="H28" s="41"/>
      <c r="I28" s="41"/>
      <c r="J28" s="38">
        <f>SUM(J24,J15,J14,J13,J12,J11,J9,J5,J4)</f>
        <v>101.38</v>
      </c>
      <c r="K28" s="38">
        <f>SUM(K3,K9,K11,K12,K13,K14,K15)</f>
        <v>98.740000000000009</v>
      </c>
    </row>
    <row r="32" spans="1:11" x14ac:dyDescent="0.3">
      <c r="A32" s="24" t="s">
        <v>85</v>
      </c>
      <c r="B32" s="25" t="s">
        <v>99</v>
      </c>
      <c r="C32" s="25" t="s">
        <v>105</v>
      </c>
      <c r="D32" s="25" t="s">
        <v>84</v>
      </c>
      <c r="E32" s="25" t="s">
        <v>106</v>
      </c>
      <c r="F32" s="25" t="s">
        <v>107</v>
      </c>
      <c r="G32" s="25" t="s">
        <v>108</v>
      </c>
      <c r="H32" s="25" t="s">
        <v>109</v>
      </c>
    </row>
    <row r="33" spans="1:8" x14ac:dyDescent="0.3">
      <c r="A33" s="29" t="s">
        <v>5</v>
      </c>
      <c r="B33" s="30">
        <v>9.0909090909090899</v>
      </c>
      <c r="C33" s="37">
        <v>25.36</v>
      </c>
      <c r="D33" s="31">
        <v>58.27</v>
      </c>
      <c r="E33" s="38">
        <v>83.63</v>
      </c>
      <c r="F33" s="39">
        <v>760.27272727272725</v>
      </c>
      <c r="G33" s="39">
        <v>380.13636363636363</v>
      </c>
      <c r="H33" s="32">
        <v>3.8013636363636363</v>
      </c>
    </row>
    <row r="34" spans="1:8" x14ac:dyDescent="0.3">
      <c r="A34" s="29" t="s">
        <v>7</v>
      </c>
      <c r="B34" s="30">
        <v>14.285714285714301</v>
      </c>
      <c r="C34" s="37">
        <v>47</v>
      </c>
      <c r="D34" s="31">
        <v>91.37</v>
      </c>
      <c r="E34" s="38">
        <v>138.37</v>
      </c>
      <c r="F34" s="39">
        <v>1976.7142857142856</v>
      </c>
      <c r="G34" s="39">
        <v>988.35714285714278</v>
      </c>
      <c r="H34" s="32">
        <v>9.8835714285714271</v>
      </c>
    </row>
    <row r="35" spans="1:8" x14ac:dyDescent="0.3">
      <c r="A35" s="29" t="s">
        <v>9</v>
      </c>
      <c r="B35" s="30">
        <v>18.181818181818201</v>
      </c>
      <c r="C35" s="37">
        <v>45.88</v>
      </c>
      <c r="D35" s="31">
        <v>74.63</v>
      </c>
      <c r="E35" s="38">
        <v>120.50999999999999</v>
      </c>
      <c r="F35" s="39">
        <v>2191.090909090909</v>
      </c>
      <c r="G35" s="39">
        <v>1095.5454545454545</v>
      </c>
      <c r="H35" s="32">
        <v>10.955454545454545</v>
      </c>
    </row>
    <row r="36" spans="1:8" x14ac:dyDescent="0.3">
      <c r="A36" s="29" t="s">
        <v>11</v>
      </c>
      <c r="B36" s="30">
        <v>19.480519480519483</v>
      </c>
      <c r="C36" s="37">
        <v>34.08</v>
      </c>
      <c r="D36" s="31">
        <v>74.23</v>
      </c>
      <c r="E36" s="38">
        <v>108.31</v>
      </c>
      <c r="F36" s="39">
        <v>2109.9350649350654</v>
      </c>
      <c r="G36" s="39">
        <v>1054.9675324675327</v>
      </c>
      <c r="H36" s="32">
        <v>10.549675324675327</v>
      </c>
    </row>
    <row r="37" spans="1:8" x14ac:dyDescent="0.3">
      <c r="A37" s="29" t="s">
        <v>13</v>
      </c>
      <c r="B37" s="30">
        <v>62.337662337662337</v>
      </c>
      <c r="C37" s="31">
        <v>39.15</v>
      </c>
      <c r="D37" s="111">
        <v>21.09</v>
      </c>
      <c r="E37" s="38">
        <v>60.239999999999995</v>
      </c>
      <c r="F37" s="39">
        <v>3755.2207792207787</v>
      </c>
      <c r="G37" s="39">
        <v>1877.6103896103893</v>
      </c>
      <c r="H37" s="32">
        <v>18.776103896103894</v>
      </c>
    </row>
    <row r="38" spans="1:8" x14ac:dyDescent="0.3">
      <c r="A38" s="29" t="s">
        <v>15</v>
      </c>
      <c r="B38" s="30">
        <v>54.54545454545454</v>
      </c>
      <c r="C38" s="31">
        <v>39.15</v>
      </c>
      <c r="D38" s="111">
        <v>65.48</v>
      </c>
      <c r="E38" s="38">
        <v>104.63</v>
      </c>
      <c r="F38" s="39">
        <v>5707.0909090909081</v>
      </c>
      <c r="G38" s="39">
        <v>2853.545454545454</v>
      </c>
      <c r="H38" s="32">
        <v>28.535454545454542</v>
      </c>
    </row>
    <row r="39" spans="1:8" x14ac:dyDescent="0.3">
      <c r="A39" s="29" t="s">
        <v>19</v>
      </c>
      <c r="B39" s="30">
        <v>3.8961038961038961</v>
      </c>
      <c r="C39" s="31">
        <v>45.56</v>
      </c>
      <c r="D39" s="111">
        <v>53.99</v>
      </c>
      <c r="E39" s="38">
        <v>99.550000000000011</v>
      </c>
      <c r="F39" s="39">
        <v>387.85714285714289</v>
      </c>
      <c r="G39" s="39">
        <v>193.92857142857144</v>
      </c>
      <c r="H39" s="32">
        <v>1.9392857142857145</v>
      </c>
    </row>
    <row r="40" spans="1:8" x14ac:dyDescent="0.3">
      <c r="A40" s="29" t="s">
        <v>21</v>
      </c>
      <c r="B40" s="30">
        <v>1.2987012987012987</v>
      </c>
      <c r="C40" s="31">
        <v>14.29</v>
      </c>
      <c r="D40" s="111">
        <v>0.16</v>
      </c>
      <c r="E40" s="38">
        <v>14.45</v>
      </c>
      <c r="F40" s="39">
        <v>18.766233766233764</v>
      </c>
      <c r="G40" s="39">
        <v>9.3831168831168821</v>
      </c>
      <c r="H40" s="32">
        <v>9.3831168831168821E-2</v>
      </c>
    </row>
    <row r="41" spans="1:8" x14ac:dyDescent="0.3">
      <c r="A41" s="29" t="s">
        <v>23</v>
      </c>
      <c r="B41" s="30">
        <v>3.8961038961038961</v>
      </c>
      <c r="C41" s="31">
        <v>34.33</v>
      </c>
      <c r="D41" s="111">
        <v>1.58</v>
      </c>
      <c r="E41" s="38">
        <v>35.909999999999997</v>
      </c>
      <c r="F41" s="39">
        <v>139.90909090909091</v>
      </c>
      <c r="G41" s="39">
        <v>69.954545454545453</v>
      </c>
      <c r="H41" s="32">
        <v>0.69954545454545458</v>
      </c>
    </row>
    <row r="42" spans="1:8" x14ac:dyDescent="0.3">
      <c r="A42" s="29" t="s">
        <v>17</v>
      </c>
      <c r="B42" s="30">
        <v>9.0909090909090917</v>
      </c>
      <c r="C42" s="31">
        <v>37.03</v>
      </c>
      <c r="D42" s="111">
        <v>24.62</v>
      </c>
      <c r="E42" s="38">
        <v>61.650000000000006</v>
      </c>
      <c r="F42" s="39">
        <v>560.45454545454561</v>
      </c>
      <c r="G42" s="39">
        <v>280.2272727272728</v>
      </c>
      <c r="H42" s="32">
        <v>2.8022727272727281</v>
      </c>
    </row>
    <row r="43" spans="1:8" x14ac:dyDescent="0.3">
      <c r="A43" s="29" t="s">
        <v>31</v>
      </c>
      <c r="B43" s="30">
        <v>1.2987012987012987</v>
      </c>
      <c r="C43" s="31">
        <v>20</v>
      </c>
      <c r="D43" s="111">
        <v>2.3199999999999998</v>
      </c>
      <c r="E43" s="38">
        <v>22.32</v>
      </c>
      <c r="F43" s="39">
        <v>28.987012987012989</v>
      </c>
      <c r="G43" s="39">
        <v>14.493506493506494</v>
      </c>
      <c r="H43" s="32">
        <v>0.14493506493506494</v>
      </c>
    </row>
    <row r="44" spans="1:8" x14ac:dyDescent="0.3">
      <c r="A44" s="29" t="s">
        <v>33</v>
      </c>
      <c r="B44" s="30">
        <v>6.4935064935064926</v>
      </c>
      <c r="C44" s="31">
        <v>34.93</v>
      </c>
      <c r="D44" s="111">
        <v>0.56000000000000005</v>
      </c>
      <c r="E44" s="38">
        <v>35.49</v>
      </c>
      <c r="F44" s="39">
        <v>230.45454545454544</v>
      </c>
      <c r="G44" s="39">
        <v>115.22727272727272</v>
      </c>
      <c r="H44" s="32">
        <v>1.1522727272727271</v>
      </c>
    </row>
    <row r="45" spans="1:8" x14ac:dyDescent="0.3">
      <c r="A45" s="29" t="s">
        <v>37</v>
      </c>
      <c r="B45" s="30">
        <v>28.571428571428569</v>
      </c>
      <c r="C45" s="31">
        <v>50.25</v>
      </c>
      <c r="D45" s="111">
        <v>0.66</v>
      </c>
      <c r="E45" s="38">
        <v>50.91</v>
      </c>
      <c r="F45" s="39">
        <v>1454.5714285714284</v>
      </c>
      <c r="G45" s="39">
        <v>727.28571428571422</v>
      </c>
      <c r="H45" s="32">
        <v>7.2728571428571422</v>
      </c>
    </row>
    <row r="46" spans="1:8" x14ac:dyDescent="0.3">
      <c r="A46" s="29" t="s">
        <v>142</v>
      </c>
      <c r="B46" s="30">
        <v>3.8961038961038961</v>
      </c>
      <c r="C46" s="31">
        <v>48.61</v>
      </c>
      <c r="D46" s="111">
        <v>29.27</v>
      </c>
      <c r="E46" s="38">
        <v>77.88</v>
      </c>
      <c r="F46" s="39">
        <v>303.42857142857139</v>
      </c>
      <c r="G46" s="39">
        <v>151.71428571428569</v>
      </c>
      <c r="H46" s="32">
        <v>1.5171428571428569</v>
      </c>
    </row>
    <row r="47" spans="1:8" x14ac:dyDescent="0.3">
      <c r="A47" s="29" t="s">
        <v>39</v>
      </c>
      <c r="B47" s="30">
        <v>1.2987012987012987</v>
      </c>
      <c r="C47" s="31">
        <v>25</v>
      </c>
      <c r="D47" s="111">
        <v>19.55</v>
      </c>
      <c r="E47" s="38">
        <v>44.55</v>
      </c>
      <c r="F47" s="39">
        <v>57.857142857142854</v>
      </c>
      <c r="G47" s="39">
        <v>28.928571428571427</v>
      </c>
      <c r="H47" s="32">
        <v>0.28928571428571426</v>
      </c>
    </row>
    <row r="48" spans="1:8" x14ac:dyDescent="0.3">
      <c r="A48" s="29" t="s">
        <v>41</v>
      </c>
      <c r="B48" s="30">
        <v>1.2987012987012987</v>
      </c>
      <c r="C48" s="31">
        <v>50</v>
      </c>
      <c r="D48" s="111">
        <v>0.64</v>
      </c>
      <c r="E48" s="38">
        <v>50.64</v>
      </c>
      <c r="F48" s="39">
        <v>65.766233766233768</v>
      </c>
      <c r="G48" s="39">
        <v>32.883116883116884</v>
      </c>
      <c r="H48" s="32">
        <v>0.32883116883116886</v>
      </c>
    </row>
  </sheetData>
  <mergeCells count="7">
    <mergeCell ref="H1:I1"/>
    <mergeCell ref="J1:K1"/>
    <mergeCell ref="B28:C28"/>
    <mergeCell ref="D28:E28"/>
    <mergeCell ref="B1:C1"/>
    <mergeCell ref="D1:E1"/>
    <mergeCell ref="F1:G1"/>
  </mergeCells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9"/>
  <sheetViews>
    <sheetView showGridLines="0" zoomScale="63" zoomScaleNormal="80" workbookViewId="0">
      <selection activeCell="D18" sqref="D18"/>
    </sheetView>
  </sheetViews>
  <sheetFormatPr defaultRowHeight="14.4" x14ac:dyDescent="0.3"/>
  <cols>
    <col min="1" max="1" width="20.44140625" customWidth="1"/>
    <col min="5" max="5" width="9.109375"/>
    <col min="6" max="6" width="13.88671875" customWidth="1"/>
    <col min="7" max="7" width="12.6640625" customWidth="1"/>
    <col min="8" max="8" width="11.5546875" customWidth="1"/>
    <col min="9" max="10" width="11.6640625" customWidth="1"/>
    <col min="11" max="11" width="14.88671875" customWidth="1"/>
    <col min="12" max="12" width="14" customWidth="1"/>
    <col min="13" max="13" width="13.5546875" customWidth="1"/>
    <col min="16" max="16" width="12" style="114" customWidth="1"/>
    <col min="17" max="17" width="10.5546875" customWidth="1"/>
    <col min="18" max="18" width="11.44140625" customWidth="1"/>
    <col min="20" max="20" width="15.5546875" customWidth="1"/>
  </cols>
  <sheetData>
    <row r="1" spans="1:21" ht="15.6" x14ac:dyDescent="0.3">
      <c r="A1" s="17" t="s">
        <v>103</v>
      </c>
      <c r="B1" s="97">
        <v>30.720000000000002</v>
      </c>
      <c r="C1" s="97">
        <v>35.190000000000005</v>
      </c>
      <c r="D1" s="121">
        <v>35.47</v>
      </c>
      <c r="E1" s="121"/>
      <c r="F1" s="5"/>
      <c r="G1" s="5" t="s">
        <v>143</v>
      </c>
      <c r="H1" s="5" t="s">
        <v>120</v>
      </c>
      <c r="I1" s="5" t="s">
        <v>15</v>
      </c>
      <c r="J1" s="5" t="s">
        <v>19</v>
      </c>
      <c r="K1" s="5" t="s">
        <v>122</v>
      </c>
      <c r="L1" s="5" t="s">
        <v>23</v>
      </c>
      <c r="M1" s="5" t="s">
        <v>123</v>
      </c>
      <c r="P1" s="115"/>
      <c r="Q1" s="97" t="s">
        <v>144</v>
      </c>
    </row>
    <row r="2" spans="1:21" ht="15.6" x14ac:dyDescent="0.3">
      <c r="A2" s="26" t="s">
        <v>110</v>
      </c>
      <c r="B2" s="97">
        <v>3.66</v>
      </c>
      <c r="C2" s="97">
        <v>3.8</v>
      </c>
      <c r="D2" s="46">
        <v>3.8699999999999997</v>
      </c>
      <c r="E2" s="46"/>
      <c r="F2" s="5" t="s">
        <v>5</v>
      </c>
      <c r="G2" s="5">
        <v>3.8</v>
      </c>
      <c r="H2" s="5"/>
      <c r="I2" s="5"/>
      <c r="J2" s="5"/>
      <c r="K2" s="5"/>
      <c r="L2" s="5"/>
      <c r="M2" s="5"/>
      <c r="P2" s="115" t="s">
        <v>33</v>
      </c>
      <c r="Q2" s="97">
        <v>1.1499999999999999</v>
      </c>
    </row>
    <row r="3" spans="1:21" ht="15.6" x14ac:dyDescent="0.3">
      <c r="A3" s="26" t="s">
        <v>112</v>
      </c>
      <c r="B3" s="97">
        <v>27.060000000000002</v>
      </c>
      <c r="C3" s="97">
        <v>31.390000000000004</v>
      </c>
      <c r="D3" s="46">
        <v>31.600000000000005</v>
      </c>
      <c r="E3" s="46"/>
      <c r="F3" s="5" t="s">
        <v>113</v>
      </c>
      <c r="G3" s="5">
        <v>9.8800000000000008</v>
      </c>
      <c r="H3" s="5"/>
      <c r="I3" s="5"/>
      <c r="J3" s="5"/>
      <c r="K3" s="5"/>
      <c r="L3" s="5"/>
      <c r="M3" s="5"/>
      <c r="P3" s="115" t="s">
        <v>37</v>
      </c>
      <c r="Q3" s="97">
        <v>7.27</v>
      </c>
    </row>
    <row r="4" spans="1:21" ht="15.6" x14ac:dyDescent="0.3">
      <c r="A4" s="26" t="s">
        <v>114</v>
      </c>
      <c r="B4" s="97">
        <v>8.5</v>
      </c>
      <c r="C4" s="97">
        <v>9.8800000000000008</v>
      </c>
      <c r="D4" s="46">
        <v>9.9500000000000011</v>
      </c>
      <c r="E4" s="46"/>
      <c r="F4" s="118" t="s">
        <v>115</v>
      </c>
      <c r="G4" s="5">
        <v>10.96</v>
      </c>
      <c r="H4" s="5"/>
      <c r="I4" s="5"/>
      <c r="J4" s="5"/>
      <c r="K4" s="5"/>
      <c r="L4" s="5"/>
      <c r="M4" s="5"/>
      <c r="P4" s="115" t="s">
        <v>126</v>
      </c>
      <c r="Q4" s="97">
        <v>1.52</v>
      </c>
    </row>
    <row r="5" spans="1:21" ht="15.6" x14ac:dyDescent="0.3">
      <c r="A5" s="35" t="s">
        <v>116</v>
      </c>
      <c r="B5" s="97">
        <v>9</v>
      </c>
      <c r="C5" s="97">
        <v>10.96</v>
      </c>
      <c r="D5" s="46">
        <v>11.030000000000001</v>
      </c>
      <c r="E5" s="46"/>
      <c r="F5" s="118" t="s">
        <v>117</v>
      </c>
      <c r="G5" s="5">
        <v>10.55</v>
      </c>
      <c r="H5" s="5"/>
      <c r="I5" s="5"/>
      <c r="J5" s="5"/>
      <c r="K5" s="5"/>
      <c r="L5" s="5"/>
      <c r="M5" s="5"/>
      <c r="P5" s="115" t="s">
        <v>128</v>
      </c>
      <c r="Q5" s="97">
        <v>0.28999999999999998</v>
      </c>
      <c r="T5" s="76"/>
      <c r="U5" s="76"/>
    </row>
    <row r="6" spans="1:21" ht="15.6" x14ac:dyDescent="0.3">
      <c r="A6" s="35" t="s">
        <v>118</v>
      </c>
      <c r="B6" s="97">
        <v>9.56</v>
      </c>
      <c r="C6" s="97">
        <v>10.55</v>
      </c>
      <c r="D6" s="46">
        <v>10.620000000000001</v>
      </c>
      <c r="E6" s="46"/>
      <c r="F6" s="118" t="s">
        <v>119</v>
      </c>
      <c r="G6" s="5"/>
      <c r="H6" s="5">
        <v>18.78</v>
      </c>
      <c r="I6" s="5"/>
      <c r="J6" s="5"/>
      <c r="K6" s="5"/>
      <c r="L6" s="5"/>
      <c r="M6" s="5"/>
      <c r="P6" s="115" t="s">
        <v>41</v>
      </c>
      <c r="Q6" s="97">
        <v>0.33</v>
      </c>
      <c r="T6" s="117" t="s">
        <v>17</v>
      </c>
      <c r="U6" s="97">
        <v>2.8</v>
      </c>
    </row>
    <row r="7" spans="1:21" ht="15.6" x14ac:dyDescent="0.3">
      <c r="A7" s="17" t="s">
        <v>120</v>
      </c>
      <c r="B7" s="97">
        <v>15.63</v>
      </c>
      <c r="C7" s="97">
        <v>18.78</v>
      </c>
      <c r="D7" s="121">
        <v>18.78</v>
      </c>
      <c r="E7" s="121"/>
      <c r="F7" s="5" t="s">
        <v>15</v>
      </c>
      <c r="G7" s="5"/>
      <c r="H7" s="5"/>
      <c r="I7" s="5">
        <v>28.54</v>
      </c>
      <c r="J7" s="5"/>
      <c r="K7" s="5"/>
      <c r="L7" s="5"/>
      <c r="M7" s="5"/>
      <c r="T7" s="117" t="s">
        <v>31</v>
      </c>
      <c r="U7" s="97">
        <v>0.14000000000000001</v>
      </c>
    </row>
    <row r="8" spans="1:21" ht="15.6" x14ac:dyDescent="0.3">
      <c r="A8" s="17" t="s">
        <v>121</v>
      </c>
      <c r="B8" s="97">
        <v>15.63</v>
      </c>
      <c r="C8" s="97">
        <v>18.78</v>
      </c>
      <c r="D8" s="46">
        <v>18.850000000000001</v>
      </c>
      <c r="E8" s="46"/>
      <c r="F8" s="5" t="s">
        <v>19</v>
      </c>
      <c r="G8" s="5"/>
      <c r="H8" s="5"/>
      <c r="I8" s="5"/>
      <c r="J8" s="5">
        <v>1.94</v>
      </c>
      <c r="K8" s="5"/>
      <c r="L8" s="5"/>
      <c r="M8" s="5"/>
      <c r="P8" s="78"/>
      <c r="Q8" s="78" t="s">
        <v>123</v>
      </c>
      <c r="T8" s="117" t="s">
        <v>144</v>
      </c>
      <c r="U8" s="97">
        <v>10.559999999999999</v>
      </c>
    </row>
    <row r="9" spans="1:21" ht="15.6" x14ac:dyDescent="0.3">
      <c r="A9" s="17" t="s">
        <v>15</v>
      </c>
      <c r="B9" s="97">
        <v>25.52</v>
      </c>
      <c r="C9" s="97">
        <v>28.54</v>
      </c>
      <c r="D9" s="121">
        <v>28.61</v>
      </c>
      <c r="E9" s="121"/>
      <c r="F9" s="5" t="s">
        <v>122</v>
      </c>
      <c r="G9" s="5"/>
      <c r="H9" s="5"/>
      <c r="I9" s="5"/>
      <c r="J9" s="5"/>
      <c r="K9" s="5">
        <v>0.09</v>
      </c>
      <c r="L9" s="5"/>
      <c r="M9" s="5"/>
      <c r="P9" s="78" t="s">
        <v>17</v>
      </c>
      <c r="Q9" s="97">
        <v>2.8</v>
      </c>
      <c r="T9" s="115" t="s">
        <v>147</v>
      </c>
      <c r="U9" s="97">
        <v>1.1499999999999999</v>
      </c>
    </row>
    <row r="10" spans="1:21" ht="15.6" x14ac:dyDescent="0.3">
      <c r="A10" s="17" t="s">
        <v>19</v>
      </c>
      <c r="B10" s="97">
        <v>1.47</v>
      </c>
      <c r="C10" s="97">
        <v>1.94</v>
      </c>
      <c r="D10" s="121">
        <v>2.0099999999999998</v>
      </c>
      <c r="E10" s="121"/>
      <c r="F10" s="5" t="s">
        <v>23</v>
      </c>
      <c r="G10" s="5"/>
      <c r="H10" s="5"/>
      <c r="I10" s="5"/>
      <c r="J10" s="5"/>
      <c r="K10" s="5"/>
      <c r="L10" s="5">
        <v>0.7</v>
      </c>
      <c r="M10" s="5"/>
      <c r="P10" s="78" t="s">
        <v>31</v>
      </c>
      <c r="Q10" s="97">
        <v>0.14000000000000001</v>
      </c>
      <c r="T10" s="115" t="s">
        <v>148</v>
      </c>
      <c r="U10" s="97">
        <v>7.27</v>
      </c>
    </row>
    <row r="11" spans="1:21" ht="15.6" x14ac:dyDescent="0.3">
      <c r="A11" s="17" t="s">
        <v>122</v>
      </c>
      <c r="B11" s="97">
        <v>0.08</v>
      </c>
      <c r="C11" s="97">
        <v>0.09</v>
      </c>
      <c r="D11" s="121">
        <v>0.16</v>
      </c>
      <c r="E11" s="121"/>
      <c r="F11" s="5" t="s">
        <v>17</v>
      </c>
      <c r="G11" s="5"/>
      <c r="H11" s="5"/>
      <c r="I11" s="5"/>
      <c r="J11" s="5"/>
      <c r="K11" s="5"/>
      <c r="L11" s="5"/>
      <c r="M11" s="5">
        <v>2.8</v>
      </c>
      <c r="P11" s="78" t="s">
        <v>144</v>
      </c>
      <c r="Q11" s="97">
        <v>10.559999999999999</v>
      </c>
      <c r="T11" s="115" t="s">
        <v>149</v>
      </c>
      <c r="U11" s="97">
        <v>1.52</v>
      </c>
    </row>
    <row r="12" spans="1:21" ht="15.6" x14ac:dyDescent="0.3">
      <c r="A12" s="17" t="s">
        <v>23</v>
      </c>
      <c r="B12" s="97">
        <v>0.59</v>
      </c>
      <c r="C12" s="97">
        <v>0.7</v>
      </c>
      <c r="D12" s="121">
        <v>0.77</v>
      </c>
      <c r="E12" s="121"/>
      <c r="F12" s="5" t="s">
        <v>31</v>
      </c>
      <c r="G12" s="5"/>
      <c r="H12" s="5"/>
      <c r="I12" s="5"/>
      <c r="J12" s="5"/>
      <c r="K12" s="5"/>
      <c r="L12" s="5"/>
      <c r="M12" s="5">
        <v>0.14000000000000001</v>
      </c>
      <c r="T12" s="115" t="s">
        <v>150</v>
      </c>
      <c r="U12" s="97">
        <v>0.28999999999999998</v>
      </c>
    </row>
    <row r="13" spans="1:21" ht="15.6" x14ac:dyDescent="0.3">
      <c r="A13" s="17" t="s">
        <v>123</v>
      </c>
      <c r="B13" s="97">
        <v>11.1</v>
      </c>
      <c r="C13" s="97">
        <v>13.499999999999998</v>
      </c>
      <c r="D13" s="121">
        <v>13.99</v>
      </c>
      <c r="E13" s="121"/>
      <c r="F13" s="5" t="s">
        <v>144</v>
      </c>
      <c r="G13" s="5"/>
      <c r="H13" s="5"/>
      <c r="I13" s="5"/>
      <c r="J13" s="5"/>
      <c r="K13" s="5"/>
      <c r="L13" s="5"/>
      <c r="M13" s="5">
        <v>10.56</v>
      </c>
      <c r="P13" s="116"/>
      <c r="Q13" s="5" t="s">
        <v>145</v>
      </c>
      <c r="T13" s="115" t="s">
        <v>151</v>
      </c>
      <c r="U13" s="97">
        <v>0.33</v>
      </c>
    </row>
    <row r="14" spans="1:21" ht="15.6" x14ac:dyDescent="0.3">
      <c r="A14" s="26" t="s">
        <v>124</v>
      </c>
      <c r="B14" s="97">
        <v>2.56</v>
      </c>
      <c r="C14" s="97">
        <v>2.8</v>
      </c>
      <c r="D14" s="46">
        <v>2.8699999999999997</v>
      </c>
      <c r="E14" s="46"/>
      <c r="P14" s="116" t="s">
        <v>7</v>
      </c>
      <c r="Q14" s="97">
        <v>9.8800000000000008</v>
      </c>
    </row>
    <row r="15" spans="1:21" ht="15.6" x14ac:dyDescent="0.3">
      <c r="A15" s="17" t="s">
        <v>125</v>
      </c>
      <c r="B15" s="97">
        <v>0.11</v>
      </c>
      <c r="C15" s="97">
        <v>0.14000000000000001</v>
      </c>
      <c r="D15" s="46">
        <v>0.21000000000000002</v>
      </c>
      <c r="E15" s="46"/>
      <c r="F15" s="5"/>
      <c r="G15" s="5" t="s">
        <v>143</v>
      </c>
      <c r="H15" s="5" t="s">
        <v>120</v>
      </c>
      <c r="I15" s="5" t="s">
        <v>15</v>
      </c>
      <c r="J15" s="5" t="s">
        <v>19</v>
      </c>
      <c r="K15" s="5" t="s">
        <v>122</v>
      </c>
      <c r="L15" s="5" t="s">
        <v>23</v>
      </c>
      <c r="M15" s="5" t="s">
        <v>123</v>
      </c>
      <c r="P15" s="116" t="s">
        <v>9</v>
      </c>
      <c r="Q15" s="97">
        <v>10.96</v>
      </c>
    </row>
    <row r="16" spans="1:21" ht="15.6" x14ac:dyDescent="0.3">
      <c r="A16" s="26" t="s">
        <v>127</v>
      </c>
      <c r="B16" s="97">
        <v>8.43</v>
      </c>
      <c r="C16" s="97">
        <v>10.559999999999999</v>
      </c>
      <c r="D16" s="46">
        <v>10.91</v>
      </c>
      <c r="E16" s="46"/>
      <c r="F16" s="5" t="s">
        <v>5</v>
      </c>
      <c r="G16" s="5">
        <v>3.8</v>
      </c>
      <c r="H16" s="5"/>
      <c r="I16" s="5"/>
      <c r="J16" s="5"/>
      <c r="K16" s="5"/>
      <c r="L16" s="5"/>
      <c r="M16" s="5"/>
      <c r="P16" s="116" t="s">
        <v>11</v>
      </c>
      <c r="Q16" s="97">
        <v>10.55</v>
      </c>
    </row>
    <row r="17" spans="1:21" ht="15.6" x14ac:dyDescent="0.3">
      <c r="A17" s="17" t="s">
        <v>129</v>
      </c>
      <c r="B17" s="97">
        <v>0.7</v>
      </c>
      <c r="C17" s="97">
        <v>1.1499999999999999</v>
      </c>
      <c r="D17" s="46">
        <v>1.22</v>
      </c>
      <c r="E17" s="46"/>
      <c r="F17" s="5" t="s">
        <v>145</v>
      </c>
      <c r="G17" s="5">
        <v>31.39</v>
      </c>
      <c r="H17" s="5"/>
      <c r="I17" s="5"/>
      <c r="J17" s="5"/>
      <c r="K17" s="5"/>
      <c r="L17" s="5"/>
      <c r="M17" s="5"/>
    </row>
    <row r="18" spans="1:21" ht="15.6" x14ac:dyDescent="0.3">
      <c r="A18" s="17" t="s">
        <v>130</v>
      </c>
      <c r="B18" s="97">
        <v>5.85</v>
      </c>
      <c r="C18" s="97">
        <v>7.27</v>
      </c>
      <c r="D18" s="46">
        <v>7.34</v>
      </c>
      <c r="E18" s="46"/>
      <c r="F18" s="118" t="s">
        <v>146</v>
      </c>
      <c r="G18" s="5"/>
      <c r="H18" s="5">
        <v>18.78</v>
      </c>
      <c r="I18" s="5"/>
      <c r="J18" s="5"/>
      <c r="K18" s="5"/>
      <c r="L18" s="5"/>
      <c r="M18" s="5"/>
      <c r="R18" s="1"/>
      <c r="S18" s="1" t="s">
        <v>31</v>
      </c>
      <c r="T18" s="1" t="s">
        <v>17</v>
      </c>
      <c r="U18" s="1" t="s">
        <v>144</v>
      </c>
    </row>
    <row r="19" spans="1:21" ht="15.6" x14ac:dyDescent="0.3">
      <c r="A19" s="26" t="s">
        <v>131</v>
      </c>
      <c r="B19" s="97">
        <v>1.29</v>
      </c>
      <c r="C19" s="97">
        <v>1.52</v>
      </c>
      <c r="D19" s="46">
        <v>1.59</v>
      </c>
      <c r="E19" s="46"/>
      <c r="F19" s="5" t="s">
        <v>15</v>
      </c>
      <c r="G19" s="5"/>
      <c r="H19" s="5"/>
      <c r="I19" s="5">
        <v>28.54</v>
      </c>
      <c r="J19" s="5"/>
      <c r="K19" s="5"/>
      <c r="L19" s="5"/>
      <c r="M19" s="5"/>
      <c r="R19" s="1" t="s">
        <v>31</v>
      </c>
      <c r="S19" s="1">
        <v>0.14000000000000001</v>
      </c>
      <c r="T19" s="1"/>
      <c r="U19" s="1"/>
    </row>
    <row r="20" spans="1:21" ht="15.6" x14ac:dyDescent="0.3">
      <c r="A20" s="17" t="s">
        <v>133</v>
      </c>
      <c r="B20" s="97">
        <v>0.26</v>
      </c>
      <c r="C20" s="97">
        <v>0.28999999999999998</v>
      </c>
      <c r="D20" s="46">
        <v>0.36</v>
      </c>
      <c r="E20" s="46"/>
      <c r="F20" s="5" t="s">
        <v>19</v>
      </c>
      <c r="G20" s="5"/>
      <c r="H20" s="5"/>
      <c r="I20" s="5"/>
      <c r="J20" s="5">
        <v>1.94</v>
      </c>
      <c r="K20" s="5"/>
      <c r="L20" s="5"/>
      <c r="M20" s="5"/>
      <c r="R20" s="1" t="s">
        <v>17</v>
      </c>
      <c r="S20" s="1"/>
      <c r="T20" s="1">
        <v>2.8</v>
      </c>
      <c r="U20" s="1"/>
    </row>
    <row r="21" spans="1:21" ht="15.6" x14ac:dyDescent="0.3">
      <c r="A21" s="17" t="s">
        <v>134</v>
      </c>
      <c r="B21" s="97">
        <v>0.33</v>
      </c>
      <c r="C21" s="97">
        <v>0.33</v>
      </c>
      <c r="D21" s="46">
        <v>0.4</v>
      </c>
      <c r="E21" s="46"/>
      <c r="F21" s="5" t="s">
        <v>122</v>
      </c>
      <c r="G21" s="5"/>
      <c r="H21" s="5"/>
      <c r="I21" s="5"/>
      <c r="J21" s="5"/>
      <c r="K21" s="5">
        <v>0.09</v>
      </c>
      <c r="L21" s="5"/>
      <c r="M21" s="5"/>
      <c r="R21" s="1" t="s">
        <v>33</v>
      </c>
      <c r="S21" s="1"/>
      <c r="T21" s="1"/>
      <c r="U21" s="1">
        <v>1.1499999999999999</v>
      </c>
    </row>
    <row r="22" spans="1:21" ht="15.6" x14ac:dyDescent="0.3">
      <c r="A22" s="17" t="s">
        <v>135</v>
      </c>
      <c r="B22" s="97">
        <v>16.27</v>
      </c>
      <c r="C22" s="97" t="s">
        <v>136</v>
      </c>
      <c r="F22" s="5" t="s">
        <v>23</v>
      </c>
      <c r="G22" s="5"/>
      <c r="H22" s="5"/>
      <c r="I22" s="5"/>
      <c r="J22" s="5"/>
      <c r="K22" s="5"/>
      <c r="L22" s="5">
        <v>0.7</v>
      </c>
      <c r="M22" s="5"/>
      <c r="R22" s="1" t="s">
        <v>37</v>
      </c>
      <c r="S22" s="1"/>
      <c r="T22" s="1"/>
      <c r="U22" s="1">
        <v>7.27</v>
      </c>
    </row>
    <row r="23" spans="1:21" ht="15.6" x14ac:dyDescent="0.3">
      <c r="A23" s="26" t="s">
        <v>137</v>
      </c>
      <c r="B23" s="97">
        <v>4.4400000000000004</v>
      </c>
      <c r="C23" s="97" t="s">
        <v>136</v>
      </c>
      <c r="F23" s="5" t="s">
        <v>123</v>
      </c>
      <c r="G23" s="5"/>
      <c r="H23" s="5"/>
      <c r="I23" s="5"/>
      <c r="J23" s="5"/>
      <c r="K23" s="5"/>
      <c r="L23" s="5"/>
      <c r="M23" s="5">
        <v>13.5</v>
      </c>
      <c r="R23" s="1" t="s">
        <v>126</v>
      </c>
      <c r="S23" s="1"/>
      <c r="T23" s="1"/>
      <c r="U23" s="1">
        <v>1.52</v>
      </c>
    </row>
    <row r="24" spans="1:21" ht="15.6" x14ac:dyDescent="0.3">
      <c r="A24" s="26" t="s">
        <v>138</v>
      </c>
      <c r="B24" s="97">
        <v>8.2799999999999994</v>
      </c>
      <c r="C24" s="97" t="s">
        <v>136</v>
      </c>
      <c r="R24" s="1" t="s">
        <v>128</v>
      </c>
      <c r="S24" s="1"/>
      <c r="T24" s="1"/>
      <c r="U24" s="1">
        <v>0.28999999999999998</v>
      </c>
    </row>
    <row r="25" spans="1:21" ht="15.6" x14ac:dyDescent="0.3">
      <c r="A25" s="112" t="s">
        <v>139</v>
      </c>
      <c r="B25" s="97">
        <v>3.55</v>
      </c>
      <c r="C25" s="97" t="s">
        <v>136</v>
      </c>
      <c r="R25" s="1" t="s">
        <v>41</v>
      </c>
      <c r="S25" s="1"/>
      <c r="T25" s="1"/>
      <c r="U25" s="1">
        <v>0.33</v>
      </c>
    </row>
    <row r="26" spans="1:21" x14ac:dyDescent="0.3">
      <c r="A26" s="113"/>
      <c r="R26" s="1"/>
      <c r="S26" s="1"/>
      <c r="T26" s="1"/>
      <c r="U26" s="1"/>
    </row>
    <row r="65" spans="3:6" ht="15.6" x14ac:dyDescent="0.3">
      <c r="C65" s="151" t="s">
        <v>156</v>
      </c>
      <c r="D65" s="151"/>
      <c r="E65" s="151"/>
      <c r="F65" s="151"/>
    </row>
    <row r="66" spans="3:6" ht="15.6" x14ac:dyDescent="0.3">
      <c r="C66" s="119"/>
      <c r="D66" s="78" t="s">
        <v>153</v>
      </c>
      <c r="E66" s="76"/>
      <c r="F66" s="76"/>
    </row>
    <row r="67" spans="3:6" ht="15.6" x14ac:dyDescent="0.3">
      <c r="C67" s="78" t="s">
        <v>152</v>
      </c>
      <c r="D67" s="120">
        <v>19.55</v>
      </c>
      <c r="E67" s="127"/>
      <c r="F67" s="76"/>
    </row>
    <row r="68" spans="3:6" ht="15.6" x14ac:dyDescent="0.3">
      <c r="C68" s="78" t="s">
        <v>154</v>
      </c>
      <c r="D68" s="97">
        <v>18.78</v>
      </c>
      <c r="E68" s="128"/>
      <c r="F68" s="76"/>
    </row>
    <row r="69" spans="3:6" ht="15.6" x14ac:dyDescent="0.3">
      <c r="C69" s="78" t="s">
        <v>155</v>
      </c>
      <c r="D69" s="97">
        <v>16.66</v>
      </c>
      <c r="E69" s="128"/>
      <c r="F69" s="76"/>
    </row>
  </sheetData>
  <mergeCells count="1">
    <mergeCell ref="C65:F65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Planilha inicial</vt:lpstr>
      <vt:lpstr>Fezes Gato_Volume</vt:lpstr>
      <vt:lpstr>cats_vol</vt:lpstr>
      <vt:lpstr>Fezes Gato_Abundância</vt:lpstr>
      <vt:lpstr>cats_abund</vt:lpstr>
      <vt:lpstr>Gato -sem vegetal-</vt:lpstr>
      <vt:lpstr>PSIRI Gato</vt:lpstr>
      <vt:lpstr>Planilha1</vt:lpstr>
      <vt:lpstr>gráficos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Tatiane Micheletti Ribeiro Silva</cp:lastModifiedBy>
  <cp:revision/>
  <dcterms:created xsi:type="dcterms:W3CDTF">2017-03-14T18:08:45Z</dcterms:created>
  <dcterms:modified xsi:type="dcterms:W3CDTF">2026-07-14T08:27:42Z</dcterms:modified>
  <cp:category/>
  <cp:contentStatus/>
</cp:coreProperties>
</file>