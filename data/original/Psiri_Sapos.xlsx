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apers Produced\Cadeia Trofica Noronha\Files from Karol Mathias and Ju\"/>
    </mc:Choice>
  </mc:AlternateContent>
  <xr:revisionPtr revIDLastSave="0" documentId="13_ncr:1_{A23EF735-DAD4-4B91-BB22-2D052E141381}" xr6:coauthVersionLast="47" xr6:coauthVersionMax="47" xr10:uidLastSave="{00000000-0000-0000-0000-000000000000}"/>
  <bookViews>
    <workbookView xWindow="-108" yWindow="-108" windowWidth="23256" windowHeight="13896" activeTab="2" xr2:uid="{803668F4-53EF-B340-A35C-E4282A8924BE}"/>
  </bookViews>
  <sheets>
    <sheet name="psiri" sheetId="1" r:id="rId1"/>
    <sheet name="psiri-prepared" sheetId="3" r:id="rId2"/>
    <sheet name="psiri-fina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" i="1" l="1"/>
  <c r="G7" i="1"/>
  <c r="D85" i="1"/>
  <c r="E75" i="1" s="1"/>
  <c r="H85" i="1"/>
  <c r="I82" i="1" s="1"/>
  <c r="J85" i="1"/>
  <c r="K7" i="1" s="1"/>
  <c r="G82" i="1"/>
  <c r="L82" i="1"/>
  <c r="G77" i="1"/>
  <c r="L77" i="1"/>
  <c r="G75" i="1"/>
  <c r="L75" i="1"/>
  <c r="G73" i="1"/>
  <c r="L73" i="1"/>
  <c r="G71" i="1"/>
  <c r="L71" i="1"/>
  <c r="G67" i="1"/>
  <c r="L67" i="1"/>
  <c r="G66" i="1"/>
  <c r="L66" i="1"/>
  <c r="G63" i="1"/>
  <c r="L63" i="1"/>
  <c r="G59" i="1"/>
  <c r="L59" i="1"/>
  <c r="G57" i="1"/>
  <c r="L57" i="1"/>
  <c r="G55" i="1"/>
  <c r="L55" i="1"/>
  <c r="G54" i="1"/>
  <c r="L54" i="1"/>
  <c r="G52" i="1"/>
  <c r="L52" i="1"/>
  <c r="G51" i="1"/>
  <c r="L51" i="1"/>
  <c r="G50" i="1"/>
  <c r="L50" i="1"/>
  <c r="G49" i="1"/>
  <c r="L49" i="1"/>
  <c r="G48" i="1"/>
  <c r="L48" i="1"/>
  <c r="G46" i="1"/>
  <c r="L46" i="1"/>
  <c r="G45" i="1"/>
  <c r="L45" i="1"/>
  <c r="G44" i="1"/>
  <c r="L44" i="1"/>
  <c r="G42" i="1"/>
  <c r="L42" i="1"/>
  <c r="G41" i="1"/>
  <c r="L41" i="1"/>
  <c r="G40" i="1"/>
  <c r="L40" i="1"/>
  <c r="G38" i="1"/>
  <c r="L38" i="1"/>
  <c r="G37" i="1"/>
  <c r="L37" i="1"/>
  <c r="G35" i="1"/>
  <c r="L35" i="1"/>
  <c r="G34" i="1"/>
  <c r="L34" i="1"/>
  <c r="G33" i="1"/>
  <c r="L33" i="1"/>
  <c r="G32" i="1"/>
  <c r="L32" i="1"/>
  <c r="G31" i="1"/>
  <c r="L31" i="1"/>
  <c r="G30" i="1"/>
  <c r="L30" i="1"/>
  <c r="G29" i="1"/>
  <c r="L29" i="1"/>
  <c r="G28" i="1"/>
  <c r="L28" i="1"/>
  <c r="G27" i="1"/>
  <c r="L27" i="1"/>
  <c r="G25" i="1"/>
  <c r="L25" i="1"/>
  <c r="G24" i="1"/>
  <c r="L24" i="1"/>
  <c r="G23" i="1"/>
  <c r="L23" i="1"/>
  <c r="G22" i="1"/>
  <c r="L22" i="1"/>
  <c r="G18" i="1"/>
  <c r="L18" i="1"/>
  <c r="G16" i="1"/>
  <c r="L16" i="1"/>
  <c r="G14" i="1"/>
  <c r="L14" i="1"/>
  <c r="G10" i="1"/>
  <c r="L10" i="1"/>
  <c r="G9" i="1"/>
  <c r="L9" i="1"/>
  <c r="G8" i="1"/>
  <c r="L8" i="1"/>
  <c r="K8" i="1" l="1"/>
  <c r="K9" i="1"/>
  <c r="I33" i="1"/>
  <c r="I51" i="1"/>
  <c r="E7" i="1"/>
  <c r="I25" i="1"/>
  <c r="I55" i="1"/>
  <c r="I9" i="1"/>
  <c r="I30" i="1"/>
  <c r="I48" i="1"/>
  <c r="I63" i="1"/>
  <c r="I22" i="1"/>
  <c r="I44" i="1"/>
  <c r="I7" i="1"/>
  <c r="I40" i="1"/>
  <c r="I18" i="1"/>
  <c r="I24" i="1"/>
  <c r="I27" i="1"/>
  <c r="I8" i="1"/>
  <c r="I10" i="1"/>
  <c r="I28" i="1"/>
  <c r="I41" i="1"/>
  <c r="I45" i="1"/>
  <c r="I49" i="1"/>
  <c r="I37" i="1"/>
  <c r="I14" i="1"/>
  <c r="I31" i="1"/>
  <c r="I34" i="1"/>
  <c r="I66" i="1"/>
  <c r="I73" i="1"/>
  <c r="I38" i="1"/>
  <c r="I29" i="1"/>
  <c r="I50" i="1"/>
  <c r="I54" i="1"/>
  <c r="I59" i="1"/>
  <c r="I16" i="1"/>
  <c r="I35" i="1"/>
  <c r="I67" i="1"/>
  <c r="I75" i="1"/>
  <c r="E46" i="1"/>
  <c r="E38" i="1"/>
  <c r="E29" i="1"/>
  <c r="E55" i="1"/>
  <c r="E22" i="1"/>
  <c r="E45" i="1"/>
  <c r="E73" i="1"/>
  <c r="E34" i="1"/>
  <c r="E37" i="1"/>
  <c r="E40" i="1"/>
  <c r="E42" i="1"/>
  <c r="E63" i="1"/>
  <c r="E67" i="1"/>
  <c r="E44" i="1"/>
  <c r="E33" i="1"/>
  <c r="E41" i="1"/>
  <c r="E59" i="1"/>
  <c r="E71" i="1"/>
  <c r="E24" i="1"/>
  <c r="E31" i="1"/>
  <c r="E10" i="1"/>
  <c r="E48" i="1"/>
  <c r="E52" i="1"/>
  <c r="E77" i="1"/>
  <c r="E9" i="1"/>
  <c r="E25" i="1"/>
  <c r="E28" i="1"/>
  <c r="E30" i="1"/>
  <c r="E32" i="1"/>
  <c r="E54" i="1"/>
  <c r="E57" i="1"/>
  <c r="E8" i="1"/>
  <c r="E35" i="1"/>
  <c r="E66" i="1"/>
  <c r="E27" i="1"/>
  <c r="E16" i="1"/>
  <c r="E50" i="1"/>
  <c r="E14" i="1"/>
  <c r="E18" i="1"/>
  <c r="E23" i="1"/>
  <c r="E49" i="1"/>
  <c r="E51" i="1"/>
  <c r="E82" i="1"/>
  <c r="K27" i="1"/>
  <c r="K22" i="1"/>
  <c r="K10" i="1"/>
  <c r="K82" i="1"/>
  <c r="K77" i="1"/>
  <c r="K75" i="1"/>
  <c r="K73" i="1"/>
  <c r="K71" i="1"/>
  <c r="K67" i="1"/>
  <c r="K66" i="1"/>
  <c r="K63" i="1"/>
  <c r="K59" i="1"/>
  <c r="K57" i="1"/>
  <c r="K55" i="1"/>
  <c r="K54" i="1"/>
  <c r="K52" i="1"/>
  <c r="K51" i="1"/>
  <c r="K50" i="1"/>
  <c r="K49" i="1"/>
  <c r="K48" i="1"/>
  <c r="K46" i="1"/>
  <c r="K45" i="1"/>
  <c r="K44" i="1"/>
  <c r="K42" i="1"/>
  <c r="K41" i="1"/>
  <c r="K40" i="1"/>
  <c r="K38" i="1"/>
  <c r="K37" i="1"/>
  <c r="K35" i="1"/>
  <c r="K34" i="1"/>
  <c r="K33" i="1"/>
  <c r="K32" i="1"/>
  <c r="K31" i="1"/>
  <c r="K30" i="1"/>
  <c r="K29" i="1"/>
  <c r="K28" i="1"/>
  <c r="K25" i="1"/>
  <c r="K24" i="1"/>
  <c r="K23" i="1"/>
  <c r="K18" i="1"/>
  <c r="K16" i="1"/>
  <c r="K14" i="1"/>
  <c r="G85" i="1"/>
  <c r="L85" i="1"/>
  <c r="M50" i="1" s="1"/>
  <c r="I46" i="1"/>
  <c r="I57" i="1"/>
  <c r="I77" i="1"/>
  <c r="I23" i="1"/>
  <c r="I32" i="1"/>
  <c r="I42" i="1"/>
  <c r="I52" i="1"/>
  <c r="I71" i="1"/>
  <c r="E85" i="1" l="1"/>
  <c r="M7" i="1"/>
  <c r="M25" i="1"/>
  <c r="O25" i="1" s="1"/>
  <c r="M45" i="1"/>
  <c r="N45" i="1" s="1"/>
  <c r="M8" i="1"/>
  <c r="M27" i="1"/>
  <c r="N27" i="1" s="1"/>
  <c r="K85" i="1"/>
  <c r="M22" i="1"/>
  <c r="O22" i="1" s="1"/>
  <c r="M73" i="1"/>
  <c r="N73" i="1" s="1"/>
  <c r="I85" i="1"/>
  <c r="M32" i="1"/>
  <c r="O32" i="1" s="1"/>
  <c r="M51" i="1"/>
  <c r="O51" i="1" s="1"/>
  <c r="M49" i="1"/>
  <c r="O49" i="1" s="1"/>
  <c r="M9" i="1"/>
  <c r="M41" i="1"/>
  <c r="N41" i="1" s="1"/>
  <c r="M63" i="1"/>
  <c r="O63" i="1" s="1"/>
  <c r="M55" i="1"/>
  <c r="O55" i="1" s="1"/>
  <c r="M14" i="1"/>
  <c r="M44" i="1"/>
  <c r="M75" i="1"/>
  <c r="O75" i="1" s="1"/>
  <c r="M54" i="1"/>
  <c r="O54" i="1" s="1"/>
  <c r="M59" i="1"/>
  <c r="N59" i="1" s="1"/>
  <c r="M57" i="1"/>
  <c r="M38" i="1"/>
  <c r="O38" i="1" s="1"/>
  <c r="M33" i="1"/>
  <c r="N33" i="1" s="1"/>
  <c r="M30" i="1"/>
  <c r="O30" i="1" s="1"/>
  <c r="O7" i="1"/>
  <c r="M67" i="1"/>
  <c r="N67" i="1" s="1"/>
  <c r="M31" i="1"/>
  <c r="M52" i="1"/>
  <c r="M34" i="1"/>
  <c r="N34" i="1" s="1"/>
  <c r="M35" i="1"/>
  <c r="O50" i="1"/>
  <c r="N50" i="1"/>
  <c r="M46" i="1"/>
  <c r="N7" i="1"/>
  <c r="M29" i="1"/>
  <c r="M48" i="1"/>
  <c r="N25" i="1"/>
  <c r="M23" i="1"/>
  <c r="M37" i="1"/>
  <c r="M18" i="1"/>
  <c r="M40" i="1"/>
  <c r="M10" i="1"/>
  <c r="M71" i="1"/>
  <c r="M66" i="1"/>
  <c r="M16" i="1"/>
  <c r="M28" i="1"/>
  <c r="M42" i="1"/>
  <c r="M82" i="1"/>
  <c r="M24" i="1"/>
  <c r="M77" i="1"/>
  <c r="N49" i="1" l="1"/>
  <c r="O59" i="1"/>
  <c r="O67" i="1"/>
  <c r="N30" i="1"/>
  <c r="N51" i="1"/>
  <c r="O45" i="1"/>
  <c r="O73" i="1"/>
  <c r="O27" i="1"/>
  <c r="O34" i="1"/>
  <c r="N38" i="1"/>
  <c r="N63" i="1"/>
  <c r="N22" i="1"/>
  <c r="N54" i="1"/>
  <c r="N32" i="1"/>
  <c r="O8" i="1"/>
  <c r="N8" i="1"/>
  <c r="N44" i="1"/>
  <c r="O44" i="1"/>
  <c r="M85" i="1"/>
  <c r="O35" i="1"/>
  <c r="N35" i="1"/>
  <c r="N14" i="1"/>
  <c r="O14" i="1"/>
  <c r="N75" i="1"/>
  <c r="O41" i="1"/>
  <c r="O52" i="1"/>
  <c r="N52" i="1"/>
  <c r="N57" i="1"/>
  <c r="O57" i="1"/>
  <c r="N31" i="1"/>
  <c r="O31" i="1"/>
  <c r="O33" i="1"/>
  <c r="N55" i="1"/>
  <c r="O9" i="1"/>
  <c r="N9" i="1"/>
  <c r="O28" i="1"/>
  <c r="N28" i="1"/>
  <c r="O16" i="1"/>
  <c r="N16" i="1"/>
  <c r="O29" i="1"/>
  <c r="N29" i="1"/>
  <c r="O77" i="1"/>
  <c r="N77" i="1"/>
  <c r="O23" i="1"/>
  <c r="N23" i="1"/>
  <c r="O40" i="1"/>
  <c r="N40" i="1"/>
  <c r="O66" i="1"/>
  <c r="N66" i="1"/>
  <c r="O48" i="1"/>
  <c r="N48" i="1"/>
  <c r="O37" i="1"/>
  <c r="N37" i="1"/>
  <c r="O24" i="1"/>
  <c r="N24" i="1"/>
  <c r="O71" i="1"/>
  <c r="N71" i="1"/>
  <c r="O82" i="1"/>
  <c r="N82" i="1"/>
  <c r="N18" i="1"/>
  <c r="O18" i="1"/>
  <c r="O46" i="1"/>
  <c r="N46" i="1"/>
  <c r="O42" i="1"/>
  <c r="N42" i="1"/>
  <c r="O10" i="1"/>
  <c r="N10" i="1"/>
  <c r="N85" i="1" l="1"/>
  <c r="O85" i="1"/>
</calcChain>
</file>

<file path=xl/sharedStrings.xml><?xml version="1.0" encoding="utf-8"?>
<sst xmlns="http://schemas.openxmlformats.org/spreadsheetml/2006/main" count="528" uniqueCount="215">
  <si>
    <t>Prey species</t>
  </si>
  <si>
    <t>Invasive/Native</t>
  </si>
  <si>
    <t>Total volume of prey</t>
  </si>
  <si>
    <t>Percentage of occurance / Frequency of ocuurance (FO)</t>
  </si>
  <si>
    <t>Numeric Frequency / Percent number (%N)</t>
  </si>
  <si>
    <t>Percent weight (%W)</t>
  </si>
  <si>
    <t>Percentage of volume (PV)</t>
  </si>
  <si>
    <t>Index of relative importance (%IRI)</t>
  </si>
  <si>
    <t>Prey-specific IRI (%PSIRI)</t>
  </si>
  <si>
    <t>INVERTEBRATES</t>
  </si>
  <si>
    <t>FO*(%N+PV)</t>
  </si>
  <si>
    <t>(FO x (%N + PV))/2</t>
  </si>
  <si>
    <t>Arthropoda</t>
  </si>
  <si>
    <t>Chelicerata</t>
  </si>
  <si>
    <t xml:space="preserve"> Arachnida</t>
  </si>
  <si>
    <t xml:space="preserve">  Araneae</t>
  </si>
  <si>
    <r>
      <t xml:space="preserve">   Spider </t>
    </r>
    <r>
      <rPr>
        <sz val="12"/>
        <color theme="1"/>
        <rFont val="Calibri"/>
        <family val="2"/>
        <scheme val="minor"/>
      </rPr>
      <t>sp. 1</t>
    </r>
  </si>
  <si>
    <t>Not defined</t>
  </si>
  <si>
    <r>
      <t xml:space="preserve">   Spider </t>
    </r>
    <r>
      <rPr>
        <sz val="12"/>
        <color theme="1"/>
        <rFont val="Calibri"/>
        <family val="2"/>
        <scheme val="minor"/>
      </rPr>
      <t>sp. 2</t>
    </r>
    <r>
      <rPr>
        <sz val="12"/>
        <color theme="1"/>
        <rFont val="Calibri"/>
        <family val="2"/>
        <scheme val="minor"/>
      </rPr>
      <t/>
    </r>
  </si>
  <si>
    <r>
      <t xml:space="preserve">   Spider </t>
    </r>
    <r>
      <rPr>
        <sz val="12"/>
        <color theme="1"/>
        <rFont val="Calibri"/>
        <family val="2"/>
        <scheme val="minor"/>
      </rPr>
      <t>sp. 3</t>
    </r>
    <r>
      <rPr>
        <sz val="12"/>
        <color theme="1"/>
        <rFont val="Calibri"/>
        <family val="2"/>
        <scheme val="minor"/>
      </rPr>
      <t/>
    </r>
  </si>
  <si>
    <r>
      <t xml:space="preserve">   Spider </t>
    </r>
    <r>
      <rPr>
        <sz val="12"/>
        <color theme="1"/>
        <rFont val="Calibri"/>
        <family val="2"/>
        <scheme val="minor"/>
      </rPr>
      <t>sp. 4</t>
    </r>
    <r>
      <rPr>
        <sz val="12"/>
        <color theme="1"/>
        <rFont val="Calibri"/>
        <family val="2"/>
        <scheme val="minor"/>
      </rPr>
      <t/>
    </r>
  </si>
  <si>
    <t>Crustacea</t>
  </si>
  <si>
    <t xml:space="preserve"> Malacostraca</t>
  </si>
  <si>
    <t xml:space="preserve">  Amphipoda</t>
  </si>
  <si>
    <r>
      <rPr>
        <i/>
        <sz val="12"/>
        <color theme="1"/>
        <rFont val="Calibri"/>
        <family val="2"/>
        <scheme val="minor"/>
      </rPr>
      <t xml:space="preserve">   Gammarus</t>
    </r>
    <r>
      <rPr>
        <sz val="12"/>
        <color theme="1"/>
        <rFont val="Calibri"/>
        <family val="2"/>
        <scheme val="minor"/>
      </rPr>
      <t xml:space="preserve"> sp.</t>
    </r>
  </si>
  <si>
    <t xml:space="preserve"> Decapoda</t>
  </si>
  <si>
    <t xml:space="preserve">   lagosta ou carangueijo?</t>
  </si>
  <si>
    <t xml:space="preserve">  Isopoda</t>
  </si>
  <si>
    <t xml:space="preserve">   Oniscidea (Porcellio scaber?)</t>
  </si>
  <si>
    <t>Invasive</t>
  </si>
  <si>
    <t>Hexapoda</t>
  </si>
  <si>
    <t xml:space="preserve"> Insecta</t>
  </si>
  <si>
    <t xml:space="preserve">  Blattodea</t>
  </si>
  <si>
    <r>
      <rPr>
        <i/>
        <sz val="12"/>
        <color theme="1"/>
        <rFont val="Calibri"/>
        <family val="2"/>
        <scheme val="minor"/>
      </rPr>
      <t xml:space="preserve">   Diploptera punctata </t>
    </r>
    <r>
      <rPr>
        <sz val="12"/>
        <color theme="1"/>
        <rFont val="Calibri"/>
        <family val="2"/>
        <scheme val="minor"/>
      </rPr>
      <t>- verificar?</t>
    </r>
  </si>
  <si>
    <t xml:space="preserve">   Eublaberus posticus</t>
  </si>
  <si>
    <t xml:space="preserve">   Periplaneta americana</t>
  </si>
  <si>
    <r>
      <t xml:space="preserve">   Pycnoscelus surinamensis </t>
    </r>
    <r>
      <rPr>
        <sz val="12"/>
        <color theme="1"/>
        <rFont val="Calibri"/>
        <family val="2"/>
        <scheme val="minor"/>
      </rPr>
      <t xml:space="preserve">or </t>
    </r>
    <r>
      <rPr>
        <i/>
        <sz val="12"/>
        <color theme="1"/>
        <rFont val="Calibri"/>
        <family val="2"/>
        <scheme val="minor"/>
      </rPr>
      <t>Pycnoscelus indicus</t>
    </r>
  </si>
  <si>
    <t xml:space="preserve">  Coleoptera</t>
  </si>
  <si>
    <r>
      <t xml:space="preserve">   Beatle</t>
    </r>
    <r>
      <rPr>
        <sz val="12"/>
        <color theme="1"/>
        <rFont val="Calibri"/>
        <family val="2"/>
        <scheme val="minor"/>
      </rPr>
      <t xml:space="preserve"> sp. 1</t>
    </r>
    <r>
      <rPr>
        <i/>
        <sz val="12"/>
        <color theme="1"/>
        <rFont val="Calibri"/>
        <family val="2"/>
        <scheme val="minor"/>
      </rPr>
      <t xml:space="preserve"> (perna espinhenta)</t>
    </r>
  </si>
  <si>
    <r>
      <t xml:space="preserve">   Beatle</t>
    </r>
    <r>
      <rPr>
        <sz val="12"/>
        <color theme="1"/>
        <rFont val="Calibri"/>
        <family val="2"/>
        <scheme val="minor"/>
      </rPr>
      <t xml:space="preserve"> sp. 2</t>
    </r>
    <r>
      <rPr>
        <i/>
        <sz val="12"/>
        <color theme="1"/>
        <rFont val="Calibri"/>
        <family val="2"/>
        <scheme val="minor"/>
      </rPr>
      <t xml:space="preserve"> (meio besouro gordinho preto)</t>
    </r>
  </si>
  <si>
    <r>
      <t xml:space="preserve">   Beatle</t>
    </r>
    <r>
      <rPr>
        <sz val="12"/>
        <color theme="1"/>
        <rFont val="Calibri"/>
        <family val="2"/>
        <scheme val="minor"/>
      </rPr>
      <t xml:space="preserve"> sp. 3</t>
    </r>
    <r>
      <rPr>
        <i/>
        <sz val="12"/>
        <color theme="1"/>
        <rFont val="Calibri"/>
        <family val="2"/>
        <scheme val="minor"/>
      </rPr>
      <t xml:space="preserve"> (besouro preto)</t>
    </r>
  </si>
  <si>
    <r>
      <t xml:space="preserve">   Beatle</t>
    </r>
    <r>
      <rPr>
        <sz val="12"/>
        <color theme="1"/>
        <rFont val="Calibri"/>
        <family val="2"/>
        <scheme val="minor"/>
      </rPr>
      <t xml:space="preserve"> sp. 4</t>
    </r>
    <r>
      <rPr>
        <i/>
        <sz val="12"/>
        <color theme="1"/>
        <rFont val="Calibri"/>
        <family val="2"/>
        <scheme val="minor"/>
      </rPr>
      <t xml:space="preserve"> (besouro peludo)</t>
    </r>
  </si>
  <si>
    <r>
      <t xml:space="preserve">   Beatle</t>
    </r>
    <r>
      <rPr>
        <sz val="12"/>
        <color theme="1"/>
        <rFont val="Calibri"/>
        <family val="2"/>
        <scheme val="minor"/>
      </rPr>
      <t xml:space="preserve"> sp. 5</t>
    </r>
    <r>
      <rPr>
        <i/>
        <sz val="12"/>
        <color theme="1"/>
        <rFont val="Calibri"/>
        <family val="2"/>
        <scheme val="minor"/>
      </rPr>
      <t xml:space="preserve"> (meio besouro achatado)</t>
    </r>
  </si>
  <si>
    <r>
      <t xml:space="preserve">   Beatle</t>
    </r>
    <r>
      <rPr>
        <sz val="12"/>
        <color theme="1"/>
        <rFont val="Calibri"/>
        <family val="2"/>
        <scheme val="minor"/>
      </rPr>
      <t xml:space="preserve"> sp. 6</t>
    </r>
    <r>
      <rPr>
        <i/>
        <sz val="12"/>
        <color theme="1"/>
        <rFont val="Calibri"/>
        <family val="2"/>
        <scheme val="minor"/>
      </rPr>
      <t xml:space="preserve"> (besouro comprido)</t>
    </r>
  </si>
  <si>
    <r>
      <t xml:space="preserve">   Beatle</t>
    </r>
    <r>
      <rPr>
        <sz val="12"/>
        <color theme="1"/>
        <rFont val="Calibri"/>
        <family val="2"/>
        <scheme val="minor"/>
      </rPr>
      <t xml:space="preserve"> sp. 7</t>
    </r>
    <r>
      <rPr>
        <i/>
        <sz val="12"/>
        <color theme="1"/>
        <rFont val="Calibri"/>
        <family val="2"/>
        <scheme val="minor"/>
      </rPr>
      <t xml:space="preserve"> (brown beatle)</t>
    </r>
  </si>
  <si>
    <r>
      <t xml:space="preserve">   Beatle</t>
    </r>
    <r>
      <rPr>
        <sz val="12"/>
        <color theme="1"/>
        <rFont val="Calibri"/>
        <family val="2"/>
        <scheme val="minor"/>
      </rPr>
      <t xml:space="preserve"> sp. 8</t>
    </r>
    <r>
      <rPr>
        <i/>
        <sz val="12"/>
        <color theme="1"/>
        <rFont val="Calibri"/>
        <family val="2"/>
        <scheme val="minor"/>
      </rPr>
      <t xml:space="preserve"> (nao id)</t>
    </r>
  </si>
  <si>
    <t xml:space="preserve">   Sitophilus oryzae</t>
  </si>
  <si>
    <t xml:space="preserve">  Dermaptera</t>
  </si>
  <si>
    <t xml:space="preserve">   Tesourinha menor</t>
  </si>
  <si>
    <t xml:space="preserve">   Tesourinha</t>
  </si>
  <si>
    <t xml:space="preserve">  Diptera</t>
  </si>
  <si>
    <t xml:space="preserve">   Pupa/larvae not identified</t>
  </si>
  <si>
    <r>
      <t xml:space="preserve">   Mosquito </t>
    </r>
    <r>
      <rPr>
        <sz val="12"/>
        <color theme="1"/>
        <rFont val="Calibri"/>
        <family val="2"/>
        <scheme val="minor"/>
      </rPr>
      <t>sp. 1</t>
    </r>
  </si>
  <si>
    <r>
      <t xml:space="preserve">   Diptera nao id </t>
    </r>
    <r>
      <rPr>
        <sz val="12"/>
        <color theme="1"/>
        <rFont val="Calibri"/>
        <family val="2"/>
        <scheme val="minor"/>
      </rPr>
      <t>sp. 1</t>
    </r>
  </si>
  <si>
    <t xml:space="preserve">  Hemiptera</t>
  </si>
  <si>
    <t xml:space="preserve">   Cicadellidae</t>
  </si>
  <si>
    <t xml:space="preserve">   Nezara sp. </t>
  </si>
  <si>
    <t xml:space="preserve">   Reduviidae</t>
  </si>
  <si>
    <t xml:space="preserve">  Hymenoptera</t>
  </si>
  <si>
    <t xml:space="preserve">   Apis melifera</t>
  </si>
  <si>
    <t xml:space="preserve">   Ant sp. 1</t>
  </si>
  <si>
    <t xml:space="preserve">   Ant sp. 2</t>
  </si>
  <si>
    <t xml:space="preserve">   Ant sp. 3</t>
  </si>
  <si>
    <t xml:space="preserve">   Solenopsis invicta </t>
  </si>
  <si>
    <t xml:space="preserve">  Lepidoptera</t>
  </si>
  <si>
    <t xml:space="preserve">   Crisalida</t>
  </si>
  <si>
    <t xml:space="preserve">   Lagarta</t>
  </si>
  <si>
    <t xml:space="preserve">  Orthoptera</t>
  </si>
  <si>
    <r>
      <t xml:space="preserve">   Cricket </t>
    </r>
    <r>
      <rPr>
        <sz val="12"/>
        <color theme="1"/>
        <rFont val="Calibri"/>
        <family val="2"/>
        <scheme val="minor"/>
      </rPr>
      <t>sp. 1</t>
    </r>
  </si>
  <si>
    <t xml:space="preserve">  Not identified insect</t>
  </si>
  <si>
    <r>
      <t xml:space="preserve">   Not identified insect </t>
    </r>
    <r>
      <rPr>
        <sz val="12"/>
        <color theme="1"/>
        <rFont val="Calibri"/>
        <family val="2"/>
        <scheme val="minor"/>
      </rPr>
      <t>sp. 1</t>
    </r>
  </si>
  <si>
    <t>Myriapoda</t>
  </si>
  <si>
    <t xml:space="preserve"> Chilopoda</t>
  </si>
  <si>
    <t xml:space="preserve">  Scolopendromorpha</t>
  </si>
  <si>
    <t xml:space="preserve">   Scolopendra subspinipes</t>
  </si>
  <si>
    <t xml:space="preserve"> Diplopoda</t>
  </si>
  <si>
    <t xml:space="preserve">  Spirostreptida</t>
  </si>
  <si>
    <t xml:space="preserve">   Glyphiulus granulatus ? </t>
  </si>
  <si>
    <t xml:space="preserve">   Not id sp. 2</t>
  </si>
  <si>
    <t>Mollusca</t>
  </si>
  <si>
    <t xml:space="preserve"> Gastropoda</t>
  </si>
  <si>
    <t xml:space="preserve">  Ellobiida</t>
  </si>
  <si>
    <r>
      <rPr>
        <i/>
        <sz val="12"/>
        <color theme="1"/>
        <rFont val="Calibri"/>
        <family val="2"/>
        <scheme val="minor"/>
      </rPr>
      <t xml:space="preserve">   Melampus</t>
    </r>
    <r>
      <rPr>
        <sz val="12"/>
        <color theme="1"/>
        <rFont val="Calibri"/>
        <family val="2"/>
        <scheme val="minor"/>
      </rPr>
      <t xml:space="preserve"> sp. (castaneus?)</t>
    </r>
  </si>
  <si>
    <t xml:space="preserve">  Pulmonata</t>
  </si>
  <si>
    <t xml:space="preserve">   slug sp. 1</t>
  </si>
  <si>
    <t xml:space="preserve">  Stylommatophora</t>
  </si>
  <si>
    <t xml:space="preserve">   Allopeas gracile</t>
  </si>
  <si>
    <t>Not identified group</t>
  </si>
  <si>
    <t>Egg</t>
  </si>
  <si>
    <t>VERTEBRATES</t>
  </si>
  <si>
    <t>Chordata</t>
  </si>
  <si>
    <t>Reptilia</t>
  </si>
  <si>
    <t>Squamata</t>
  </si>
  <si>
    <t>Indotyphlops braminus</t>
  </si>
  <si>
    <t>total de estomagos investigados</t>
  </si>
  <si>
    <t>TOTAL</t>
  </si>
  <si>
    <t>Number of occurances (stomachs with that item) (NO)</t>
  </si>
  <si>
    <t>Number of individuals (N)</t>
  </si>
  <si>
    <t>Mean weight (mg) (W)</t>
  </si>
  <si>
    <t>Mean volume (mL) (V)</t>
  </si>
  <si>
    <t>Volumetric frequency (VF)</t>
  </si>
  <si>
    <t>Standardized_Name</t>
  </si>
  <si>
    <t>crab or lobster</t>
  </si>
  <si>
    <t>probably Glyphiulus granulatus</t>
  </si>
  <si>
    <t>Unidentified Insecta</t>
  </si>
  <si>
    <t>Gastropoda</t>
  </si>
  <si>
    <t>Stylommatophora</t>
  </si>
  <si>
    <t>Pulmonata</t>
  </si>
  <si>
    <t>Birds</t>
  </si>
  <si>
    <t>Araneae</t>
  </si>
  <si>
    <t>Amphipoda</t>
  </si>
  <si>
    <t>Decapoda</t>
  </si>
  <si>
    <t>Isopoda</t>
  </si>
  <si>
    <t>Blattodea</t>
  </si>
  <si>
    <t>Coleoptera</t>
  </si>
  <si>
    <t>Dermaptera</t>
  </si>
  <si>
    <t>Diptera</t>
  </si>
  <si>
    <t>Hemiptera</t>
  </si>
  <si>
    <t>Hymenoptera</t>
  </si>
  <si>
    <t>Lepidoptera</t>
  </si>
  <si>
    <t>Orthoptera</t>
  </si>
  <si>
    <t>Chilopoda</t>
  </si>
  <si>
    <t>Diplopoda</t>
  </si>
  <si>
    <t>Spider_sp1</t>
  </si>
  <si>
    <t>Spider_sp2</t>
  </si>
  <si>
    <t>Spider_sp3</t>
  </si>
  <si>
    <t>Spider_sp4</t>
  </si>
  <si>
    <t>Gammarus_sp</t>
  </si>
  <si>
    <t>Oniscidea (potentially Porcellio scaber)</t>
  </si>
  <si>
    <t>Diploptera punctata</t>
  </si>
  <si>
    <t>Eublaberus posticus</t>
  </si>
  <si>
    <t>Periplaneta americana</t>
  </si>
  <si>
    <t>Pycnoscelus surinamensis or Pycnoscelus indicus</t>
  </si>
  <si>
    <t>Beatle sp. 1 (perna espinhenta)</t>
  </si>
  <si>
    <t>Beatle sp. 2 (meio besouro gordinho preto)</t>
  </si>
  <si>
    <t>Beatle sp. 3 (besouro preto)</t>
  </si>
  <si>
    <t>Beatle sp. 4 (besouro peludo)</t>
  </si>
  <si>
    <t>Beatle sp. 5 (meio besouro achatado)</t>
  </si>
  <si>
    <t>Beatle sp. 6 (besouro comprido)</t>
  </si>
  <si>
    <t>Beatle sp. 7 (brown beatle)</t>
  </si>
  <si>
    <t>Beatle sp. 8 (nao id)</t>
  </si>
  <si>
    <t>Sitophilus oryzae</t>
  </si>
  <si>
    <t>Tesourinha menor</t>
  </si>
  <si>
    <t>Tesourinha</t>
  </si>
  <si>
    <t>Unidentified Pupa or larvae</t>
  </si>
  <si>
    <t>Mosquito sp. 1</t>
  </si>
  <si>
    <t>Diptera Not Id</t>
  </si>
  <si>
    <t>Cicadellidae</t>
  </si>
  <si>
    <t>Nezara sp.</t>
  </si>
  <si>
    <t>Reduviidae</t>
  </si>
  <si>
    <t>Apis melifera</t>
  </si>
  <si>
    <t>Ant sp. 1</t>
  </si>
  <si>
    <t>Ant sp. 2</t>
  </si>
  <si>
    <t>Ant sp. 3</t>
  </si>
  <si>
    <t>Solenopsis invicta</t>
  </si>
  <si>
    <t>Crisalida</t>
  </si>
  <si>
    <t>Lagarta</t>
  </si>
  <si>
    <t>Cricket sp. 1</t>
  </si>
  <si>
    <t>Not identified insect sp. 1</t>
  </si>
  <si>
    <t>Scolopendra subspinipes</t>
  </si>
  <si>
    <t>Not id sp. 2 (Spirostreptida)</t>
  </si>
  <si>
    <t>Melampus sp. (maybe castaneus)</t>
  </si>
  <si>
    <t>slug sp. 1</t>
  </si>
  <si>
    <t>Allopeas gracile</t>
  </si>
  <si>
    <t>Species</t>
  </si>
  <si>
    <t>ID</t>
  </si>
  <si>
    <t>TOAD_6</t>
  </si>
  <si>
    <t>TOAD_7</t>
  </si>
  <si>
    <t>TOAD_8</t>
  </si>
  <si>
    <t>TOAD_9</t>
  </si>
  <si>
    <t>TOAD_13</t>
  </si>
  <si>
    <t>TOAD_15</t>
  </si>
  <si>
    <t>TOAD_17</t>
  </si>
  <si>
    <t>TOAD_21</t>
  </si>
  <si>
    <t>TOAD_22</t>
  </si>
  <si>
    <t>TOAD_23</t>
  </si>
  <si>
    <t>TOAD_24</t>
  </si>
  <si>
    <t>TOAD_26</t>
  </si>
  <si>
    <t>TOAD_27</t>
  </si>
  <si>
    <t>TOAD_28</t>
  </si>
  <si>
    <t>TOAD_29</t>
  </si>
  <si>
    <t>TOAD_30</t>
  </si>
  <si>
    <t>TOAD_31</t>
  </si>
  <si>
    <t>TOAD_32</t>
  </si>
  <si>
    <t>TOAD_33</t>
  </si>
  <si>
    <t>TOAD_34</t>
  </si>
  <si>
    <t>TOAD_36</t>
  </si>
  <si>
    <t>TOAD_37</t>
  </si>
  <si>
    <t>TOAD_39</t>
  </si>
  <si>
    <t>TOAD_40</t>
  </si>
  <si>
    <t>TOAD_41</t>
  </si>
  <si>
    <t>TOAD_43</t>
  </si>
  <si>
    <t>TOAD_44</t>
  </si>
  <si>
    <t>TOAD_45</t>
  </si>
  <si>
    <t>TOAD_47</t>
  </si>
  <si>
    <t>TOAD_48</t>
  </si>
  <si>
    <t>TOAD_49</t>
  </si>
  <si>
    <t>TOAD_50</t>
  </si>
  <si>
    <t>TOAD_51</t>
  </si>
  <si>
    <t>TOAD_53</t>
  </si>
  <si>
    <t>TOAD_54</t>
  </si>
  <si>
    <t>TOAD_56</t>
  </si>
  <si>
    <t>TOAD_58</t>
  </si>
  <si>
    <t>TOAD_62</t>
  </si>
  <si>
    <t>TOAD_65</t>
  </si>
  <si>
    <t>TOAD_66</t>
  </si>
  <si>
    <t>TOAD_70</t>
  </si>
  <si>
    <t>TOAD_72</t>
  </si>
  <si>
    <t>TOAD_74</t>
  </si>
  <si>
    <t>TOAD_76</t>
  </si>
  <si>
    <t>TOAD_81</t>
  </si>
  <si>
    <t>Number_individuals_N</t>
  </si>
  <si>
    <t>Number_of_Occurances_NO</t>
  </si>
  <si>
    <t>Mean_weight_mg_W</t>
  </si>
  <si>
    <t>Mean_volume_mL_V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</si>
</sst>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2" fontId="8" fillId="0" borderId="0" xfId="1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4D80-1061-3340-979C-7D16936CA693}">
  <dimension ref="A1:O85"/>
  <sheetViews>
    <sheetView workbookViewId="0">
      <pane ySplit="1" topLeftCell="A2" activePane="bottomLeft" state="frozen"/>
      <selection pane="bottomLeft" activeCell="B4" sqref="B4"/>
    </sheetView>
  </sheetViews>
  <sheetFormatPr defaultColWidth="11.19921875" defaultRowHeight="15.6" x14ac:dyDescent="0.3"/>
  <cols>
    <col min="2" max="2" width="42.5" bestFit="1" customWidth="1"/>
    <col min="3" max="3" width="19.296875" style="8" bestFit="1" customWidth="1"/>
    <col min="4" max="4" width="24.5" style="8" bestFit="1" customWidth="1"/>
    <col min="5" max="5" width="42.5" style="8" bestFit="1" customWidth="1"/>
    <col min="6" max="6" width="47.5" style="8" bestFit="1" customWidth="1"/>
    <col min="7" max="7" width="52.796875" style="8" bestFit="1" customWidth="1"/>
    <col min="8" max="8" width="21.69921875" style="8" bestFit="1" customWidth="1"/>
    <col min="9" max="9" width="23.796875" style="8" bestFit="1" customWidth="1"/>
    <col min="10" max="10" width="22" style="8" bestFit="1" customWidth="1"/>
    <col min="11" max="11" width="28.69921875" style="8" bestFit="1" customWidth="1"/>
    <col min="12" max="12" width="24.796875" style="8" customWidth="1"/>
    <col min="13" max="13" width="28.69921875" style="8" customWidth="1"/>
    <col min="14" max="14" width="35.5" style="8" bestFit="1" customWidth="1"/>
    <col min="15" max="15" width="27.19921875" style="9" bestFit="1" customWidth="1"/>
  </cols>
  <sheetData>
    <row r="1" spans="1:15" s="1" customFormat="1" x14ac:dyDescent="0.3">
      <c r="A1" s="1" t="s">
        <v>165</v>
      </c>
      <c r="B1" s="1" t="s">
        <v>0</v>
      </c>
      <c r="C1" s="2" t="s">
        <v>1</v>
      </c>
      <c r="D1" s="5" t="s">
        <v>97</v>
      </c>
      <c r="E1" s="5" t="s">
        <v>4</v>
      </c>
      <c r="F1" s="6" t="s">
        <v>96</v>
      </c>
      <c r="G1" s="6" t="s">
        <v>3</v>
      </c>
      <c r="H1" s="4" t="s">
        <v>98</v>
      </c>
      <c r="I1" s="4" t="s">
        <v>5</v>
      </c>
      <c r="J1" s="3" t="s">
        <v>99</v>
      </c>
      <c r="K1" s="3" t="s">
        <v>100</v>
      </c>
      <c r="L1" s="3" t="s">
        <v>2</v>
      </c>
      <c r="M1" s="3" t="s">
        <v>6</v>
      </c>
      <c r="N1" s="2" t="s">
        <v>7</v>
      </c>
      <c r="O1" s="7" t="s">
        <v>8</v>
      </c>
    </row>
    <row r="2" spans="1:15" x14ac:dyDescent="0.3">
      <c r="B2" t="s">
        <v>9</v>
      </c>
      <c r="N2" s="8" t="s">
        <v>10</v>
      </c>
      <c r="O2" s="9" t="s">
        <v>11</v>
      </c>
    </row>
    <row r="3" spans="1:15" x14ac:dyDescent="0.3">
      <c r="B3" s="10" t="s">
        <v>12</v>
      </c>
    </row>
    <row r="4" spans="1:15" x14ac:dyDescent="0.3">
      <c r="B4" t="s">
        <v>13</v>
      </c>
    </row>
    <row r="5" spans="1:15" x14ac:dyDescent="0.3">
      <c r="B5" t="s">
        <v>14</v>
      </c>
    </row>
    <row r="6" spans="1:15" x14ac:dyDescent="0.3">
      <c r="B6" t="s">
        <v>15</v>
      </c>
    </row>
    <row r="7" spans="1:15" x14ac:dyDescent="0.3">
      <c r="A7" t="s">
        <v>166</v>
      </c>
      <c r="B7" s="11" t="s">
        <v>16</v>
      </c>
      <c r="C7" s="8" t="s">
        <v>17</v>
      </c>
      <c r="D7" s="8">
        <v>1</v>
      </c>
      <c r="E7" s="9">
        <f>D7*100/$D$85</f>
        <v>4.775549188156638E-2</v>
      </c>
      <c r="F7" s="8">
        <v>1</v>
      </c>
      <c r="G7" s="9">
        <f>100*F7/$F$85</f>
        <v>0.72992700729927007</v>
      </c>
      <c r="H7" s="9">
        <v>0.01</v>
      </c>
      <c r="I7" s="9">
        <f>H7*100/$H$85</f>
        <v>0.18277529403223131</v>
      </c>
      <c r="J7" s="9">
        <v>0.1</v>
      </c>
      <c r="K7" s="9">
        <f>J7*100/$J$85</f>
        <v>1.217372877990434</v>
      </c>
      <c r="L7" s="9">
        <f>J7*D7</f>
        <v>0.1</v>
      </c>
      <c r="M7" s="9">
        <f>100*L7/$L$85</f>
        <v>6.0142934978495793E-2</v>
      </c>
      <c r="N7" s="12">
        <f>G7*(E7+M7)</f>
        <v>7.8757975810264363E-2</v>
      </c>
      <c r="O7" s="9">
        <f>(G7*(E7+M7))/2</f>
        <v>3.9378987905132182E-2</v>
      </c>
    </row>
    <row r="8" spans="1:15" x14ac:dyDescent="0.3">
      <c r="A8" t="s">
        <v>167</v>
      </c>
      <c r="B8" s="11" t="s">
        <v>18</v>
      </c>
      <c r="C8" s="8" t="s">
        <v>17</v>
      </c>
      <c r="D8" s="8">
        <v>1</v>
      </c>
      <c r="E8" s="9">
        <f>D8*100/$D$85</f>
        <v>4.775549188156638E-2</v>
      </c>
      <c r="F8" s="8">
        <v>1</v>
      </c>
      <c r="G8" s="9">
        <f>100*F8/$F$85</f>
        <v>0.72992700729927007</v>
      </c>
      <c r="H8" s="9">
        <v>0.01</v>
      </c>
      <c r="I8" s="9">
        <f>H8*100/$H$85</f>
        <v>0.18277529403223131</v>
      </c>
      <c r="J8" s="9">
        <v>0.1</v>
      </c>
      <c r="K8" s="9">
        <f>J8*100/$J$85</f>
        <v>1.217372877990434</v>
      </c>
      <c r="L8" s="9">
        <f>J8*D8</f>
        <v>0.1</v>
      </c>
      <c r="M8" s="9">
        <f>100*L8/$L$85</f>
        <v>6.0142934978495793E-2</v>
      </c>
      <c r="N8" s="12">
        <f>G8*(E8+M8)</f>
        <v>7.8757975810264363E-2</v>
      </c>
      <c r="O8" s="9">
        <f>(G8*(E8+M8))/2</f>
        <v>3.9378987905132182E-2</v>
      </c>
    </row>
    <row r="9" spans="1:15" x14ac:dyDescent="0.3">
      <c r="A9" t="s">
        <v>168</v>
      </c>
      <c r="B9" s="11" t="s">
        <v>19</v>
      </c>
      <c r="C9" s="8" t="s">
        <v>17</v>
      </c>
      <c r="D9" s="8">
        <v>5</v>
      </c>
      <c r="E9" s="9">
        <f>D9*100/$D$85</f>
        <v>0.2387774594078319</v>
      </c>
      <c r="F9" s="8">
        <v>1</v>
      </c>
      <c r="G9" s="9">
        <f>100*F9/$F$85</f>
        <v>0.72992700729927007</v>
      </c>
      <c r="H9" s="9">
        <v>0.01</v>
      </c>
      <c r="I9" s="9">
        <f>H9*100/$H$85</f>
        <v>0.18277529403223131</v>
      </c>
      <c r="J9" s="8">
        <v>0.05</v>
      </c>
      <c r="K9" s="9">
        <f>J9*100/$J$85</f>
        <v>0.60868643899521702</v>
      </c>
      <c r="L9" s="9">
        <f>J9*D9</f>
        <v>0.25</v>
      </c>
      <c r="M9" s="9">
        <f>100*L9/$L$85</f>
        <v>0.15035733744623947</v>
      </c>
      <c r="N9" s="12">
        <f>G9*(E9+M9)</f>
        <v>0.28403999770370175</v>
      </c>
      <c r="O9" s="9">
        <f>(G9*(E9+M9))/2</f>
        <v>0.14201999885185088</v>
      </c>
    </row>
    <row r="10" spans="1:15" x14ac:dyDescent="0.3">
      <c r="A10" t="s">
        <v>169</v>
      </c>
      <c r="B10" s="11" t="s">
        <v>20</v>
      </c>
      <c r="C10" s="8" t="s">
        <v>17</v>
      </c>
      <c r="D10" s="8">
        <v>1</v>
      </c>
      <c r="E10" s="9">
        <f>D10*100/$D$85</f>
        <v>4.775549188156638E-2</v>
      </c>
      <c r="F10" s="8">
        <v>1</v>
      </c>
      <c r="G10" s="9">
        <f>100*F10/$F$85</f>
        <v>0.72992700729927007</v>
      </c>
      <c r="H10" s="9">
        <v>0.01</v>
      </c>
      <c r="I10" s="9">
        <f>H10*100/$H$85</f>
        <v>0.18277529403223131</v>
      </c>
      <c r="J10" s="8">
        <v>0.05</v>
      </c>
      <c r="K10" s="9">
        <f>J10*100/$J$85</f>
        <v>0.60868643899521702</v>
      </c>
      <c r="L10" s="9">
        <f>J10*D10</f>
        <v>0.05</v>
      </c>
      <c r="M10" s="9">
        <f>100*L10/$L$85</f>
        <v>3.0071467489247897E-2</v>
      </c>
      <c r="N10" s="12">
        <f>G10*(E10+M10)</f>
        <v>5.6807999540740339E-2</v>
      </c>
      <c r="O10" s="9">
        <f>(G10*(E10+M10))/2</f>
        <v>2.840399977037017E-2</v>
      </c>
    </row>
    <row r="11" spans="1:15" x14ac:dyDescent="0.3">
      <c r="B11" t="s">
        <v>21</v>
      </c>
      <c r="E11" s="9"/>
      <c r="I11" s="9"/>
      <c r="K11" s="9"/>
      <c r="M11" s="9"/>
    </row>
    <row r="12" spans="1:15" x14ac:dyDescent="0.3">
      <c r="B12" t="s">
        <v>22</v>
      </c>
      <c r="E12" s="13"/>
      <c r="I12" s="9"/>
      <c r="K12" s="9"/>
      <c r="M12" s="9"/>
    </row>
    <row r="13" spans="1:15" x14ac:dyDescent="0.3">
      <c r="B13" t="s">
        <v>23</v>
      </c>
      <c r="E13" s="9"/>
      <c r="I13" s="9"/>
      <c r="K13" s="9"/>
      <c r="M13" s="9"/>
    </row>
    <row r="14" spans="1:15" x14ac:dyDescent="0.3">
      <c r="A14" t="s">
        <v>170</v>
      </c>
      <c r="B14" t="s">
        <v>24</v>
      </c>
      <c r="C14" s="8" t="s">
        <v>17</v>
      </c>
      <c r="D14" s="8">
        <v>225</v>
      </c>
      <c r="E14" s="9">
        <f>D14*100/$D$85</f>
        <v>10.744985673352435</v>
      </c>
      <c r="F14" s="8">
        <v>12</v>
      </c>
      <c r="G14" s="9">
        <f>100*F14/$F$85</f>
        <v>8.7591240875912408</v>
      </c>
      <c r="H14" s="14">
        <v>1.9896753472730335E-4</v>
      </c>
      <c r="I14" s="9">
        <f>H14*100/$H$85</f>
        <v>3.6366349662651063E-3</v>
      </c>
      <c r="J14" s="8">
        <v>0.01</v>
      </c>
      <c r="K14" s="9">
        <f>J14*100/$J$85</f>
        <v>0.1217372877990434</v>
      </c>
      <c r="L14" s="9">
        <f>J14*D14</f>
        <v>2.25</v>
      </c>
      <c r="M14" s="9">
        <f>100*L14/$L$85</f>
        <v>1.3532160370161554</v>
      </c>
      <c r="N14" s="12">
        <f>G14*(E14+M14)</f>
        <v>105.96965001782706</v>
      </c>
      <c r="O14" s="9">
        <f>(G14*(E14+M14))/2</f>
        <v>52.984825008913532</v>
      </c>
    </row>
    <row r="15" spans="1:15" x14ac:dyDescent="0.3">
      <c r="B15" t="s">
        <v>25</v>
      </c>
      <c r="E15" s="9"/>
      <c r="I15" s="9"/>
      <c r="K15" s="9"/>
      <c r="M15" s="9"/>
    </row>
    <row r="16" spans="1:15" x14ac:dyDescent="0.3">
      <c r="A16" t="s">
        <v>171</v>
      </c>
      <c r="B16" s="15" t="s">
        <v>26</v>
      </c>
      <c r="C16" s="8" t="s">
        <v>17</v>
      </c>
      <c r="D16" s="8">
        <v>5</v>
      </c>
      <c r="E16" s="9">
        <f>D16*100/$D$85</f>
        <v>0.2387774594078319</v>
      </c>
      <c r="F16" s="8">
        <v>4</v>
      </c>
      <c r="G16" s="9">
        <f>100*F16/$F$85</f>
        <v>2.9197080291970803</v>
      </c>
      <c r="H16" s="8">
        <v>0.6</v>
      </c>
      <c r="I16" s="9">
        <f>H16*100/$H$85</f>
        <v>10.966517641933878</v>
      </c>
      <c r="J16" s="8">
        <v>1</v>
      </c>
      <c r="K16" s="9">
        <f>J16*100/$J$85</f>
        <v>12.173728779904341</v>
      </c>
      <c r="L16" s="9">
        <f>J16*D16</f>
        <v>5</v>
      </c>
      <c r="M16" s="9">
        <f>100*L16/$L$85</f>
        <v>3.0071467489247898</v>
      </c>
      <c r="N16" s="12">
        <f>G16*(E16+M16)</f>
        <v>9.4771509732339325</v>
      </c>
      <c r="O16" s="9">
        <f>(G16*(E16+M16))/2</f>
        <v>4.7385754866169663</v>
      </c>
    </row>
    <row r="17" spans="1:15" x14ac:dyDescent="0.3">
      <c r="B17" t="s">
        <v>27</v>
      </c>
      <c r="E17" s="9"/>
      <c r="I17" s="9"/>
      <c r="K17" s="9"/>
      <c r="M17" s="9"/>
    </row>
    <row r="18" spans="1:15" x14ac:dyDescent="0.3">
      <c r="A18" t="s">
        <v>172</v>
      </c>
      <c r="B18" s="15" t="s">
        <v>28</v>
      </c>
      <c r="C18" s="8" t="s">
        <v>29</v>
      </c>
      <c r="D18" s="8">
        <v>64</v>
      </c>
      <c r="E18" s="9">
        <f>D18*100/$D$85</f>
        <v>3.0563514804202483</v>
      </c>
      <c r="F18" s="8">
        <v>21</v>
      </c>
      <c r="G18" s="9">
        <f>100*F18/$F$85</f>
        <v>15.328467153284672</v>
      </c>
      <c r="H18" s="8">
        <v>0.05</v>
      </c>
      <c r="I18" s="9">
        <f>H18*100/$H$85</f>
        <v>0.91387647016115658</v>
      </c>
      <c r="J18" s="8">
        <v>0.12</v>
      </c>
      <c r="K18" s="9">
        <f>J18*100/$J$85</f>
        <v>1.4608474535885208</v>
      </c>
      <c r="L18" s="9">
        <f>J18*D18</f>
        <v>7.68</v>
      </c>
      <c r="M18" s="9">
        <f>100*L18/$L$85</f>
        <v>4.6189774063484768</v>
      </c>
      <c r="N18" s="12">
        <f>G18*(E18+M18)</f>
        <v>117.6510267314914</v>
      </c>
      <c r="O18" s="9">
        <f>(G18*(E18+M18))/2</f>
        <v>58.825513365745699</v>
      </c>
    </row>
    <row r="19" spans="1:15" x14ac:dyDescent="0.3">
      <c r="B19" t="s">
        <v>30</v>
      </c>
      <c r="E19" s="9"/>
      <c r="I19" s="9"/>
      <c r="K19" s="9"/>
      <c r="M19" s="9"/>
    </row>
    <row r="20" spans="1:15" x14ac:dyDescent="0.3">
      <c r="B20" t="s">
        <v>31</v>
      </c>
      <c r="E20" s="9"/>
      <c r="I20" s="9"/>
      <c r="K20" s="9"/>
      <c r="M20" s="9"/>
    </row>
    <row r="21" spans="1:15" x14ac:dyDescent="0.3">
      <c r="B21" t="s">
        <v>32</v>
      </c>
      <c r="E21" s="9"/>
      <c r="I21" s="9"/>
      <c r="K21" s="9"/>
      <c r="M21" s="9"/>
    </row>
    <row r="22" spans="1:15" x14ac:dyDescent="0.3">
      <c r="A22" t="s">
        <v>173</v>
      </c>
      <c r="B22" t="s">
        <v>33</v>
      </c>
      <c r="C22" s="8" t="s">
        <v>29</v>
      </c>
      <c r="D22" s="8">
        <v>4</v>
      </c>
      <c r="E22" s="9">
        <f>D22*100/$D$85</f>
        <v>0.19102196752626552</v>
      </c>
      <c r="F22" s="8">
        <v>1</v>
      </c>
      <c r="G22" s="9">
        <f>100*F22/$F$85</f>
        <v>0.72992700729927007</v>
      </c>
      <c r="H22" s="8">
        <v>0.26</v>
      </c>
      <c r="I22" s="9">
        <f>H22*100/$H$85</f>
        <v>4.7521576448380145</v>
      </c>
      <c r="J22" s="8">
        <v>0.3</v>
      </c>
      <c r="K22" s="9">
        <f>J22*100/$J$85</f>
        <v>3.6521186339713023</v>
      </c>
      <c r="L22" s="9">
        <f>J22*D22</f>
        <v>1.2</v>
      </c>
      <c r="M22" s="9">
        <f>100*L22/$L$85</f>
        <v>0.72171521974194952</v>
      </c>
      <c r="N22" s="12">
        <f>G22*(E22+M22)</f>
        <v>0.66623152355344162</v>
      </c>
      <c r="O22" s="9">
        <f>(G22*(E22+M22))/2</f>
        <v>0.33311576177672081</v>
      </c>
    </row>
    <row r="23" spans="1:15" x14ac:dyDescent="0.3">
      <c r="A23" t="s">
        <v>174</v>
      </c>
      <c r="B23" s="15" t="s">
        <v>34</v>
      </c>
      <c r="C23" s="8" t="s">
        <v>29</v>
      </c>
      <c r="D23" s="8">
        <v>1</v>
      </c>
      <c r="E23" s="9">
        <f>D23*100/$D$85</f>
        <v>4.775549188156638E-2</v>
      </c>
      <c r="F23" s="8">
        <v>1</v>
      </c>
      <c r="G23" s="9">
        <f>100*F23/$F$85</f>
        <v>0.72992700729927007</v>
      </c>
      <c r="H23" s="8">
        <v>0.01</v>
      </c>
      <c r="I23" s="9">
        <f>H23*100/$H$85</f>
        <v>0.18277529403223131</v>
      </c>
      <c r="J23" s="8">
        <v>0.12</v>
      </c>
      <c r="K23" s="9">
        <f>J23*100/$J$85</f>
        <v>1.4608474535885208</v>
      </c>
      <c r="L23" s="9">
        <f>J23*D23</f>
        <v>0.12</v>
      </c>
      <c r="M23" s="9">
        <f>100*L23/$L$85</f>
        <v>7.2171521974194949E-2</v>
      </c>
      <c r="N23" s="12">
        <f>G23*(E23+M23)</f>
        <v>8.7537966318073951E-2</v>
      </c>
      <c r="O23" s="9">
        <f>(G23*(E23+M23))/2</f>
        <v>4.3768983159036975E-2</v>
      </c>
    </row>
    <row r="24" spans="1:15" x14ac:dyDescent="0.3">
      <c r="A24" t="s">
        <v>175</v>
      </c>
      <c r="B24" s="15" t="s">
        <v>35</v>
      </c>
      <c r="C24" s="8" t="s">
        <v>29</v>
      </c>
      <c r="D24" s="8">
        <v>1</v>
      </c>
      <c r="E24" s="9">
        <f>D24*100/$D$85</f>
        <v>4.775549188156638E-2</v>
      </c>
      <c r="F24" s="8">
        <v>1</v>
      </c>
      <c r="G24" s="9">
        <f>100*F24/$F$85</f>
        <v>0.72992700729927007</v>
      </c>
      <c r="H24" s="8">
        <v>0.01</v>
      </c>
      <c r="I24" s="9">
        <f>H24*100/$H$85</f>
        <v>0.18277529403223131</v>
      </c>
      <c r="J24" s="8">
        <v>0.01</v>
      </c>
      <c r="K24" s="9">
        <f>J24*100/$J$85</f>
        <v>0.1217372877990434</v>
      </c>
      <c r="L24" s="9">
        <f>J24*D24</f>
        <v>0.01</v>
      </c>
      <c r="M24" s="9">
        <f>100*L24/$L$85</f>
        <v>6.0142934978495797E-3</v>
      </c>
      <c r="N24" s="12">
        <f>G24*(E24+M24)</f>
        <v>3.9248018525121137E-2</v>
      </c>
      <c r="O24" s="9">
        <f>(G24*(E24+M24))/2</f>
        <v>1.9624009262560568E-2</v>
      </c>
    </row>
    <row r="25" spans="1:15" x14ac:dyDescent="0.3">
      <c r="A25" t="s">
        <v>176</v>
      </c>
      <c r="B25" s="15" t="s">
        <v>36</v>
      </c>
      <c r="C25" s="8" t="s">
        <v>29</v>
      </c>
      <c r="D25" s="8">
        <v>451</v>
      </c>
      <c r="E25" s="9">
        <f>D25*100/$D$85</f>
        <v>21.537726838586437</v>
      </c>
      <c r="F25" s="8">
        <v>61</v>
      </c>
      <c r="G25" s="9">
        <f>100*F25/$F$85</f>
        <v>44.525547445255476</v>
      </c>
      <c r="H25" s="8">
        <v>0.1</v>
      </c>
      <c r="I25" s="9">
        <f>H25*100/$H$85</f>
        <v>1.8277529403223132</v>
      </c>
      <c r="J25" s="8">
        <v>0.2</v>
      </c>
      <c r="K25" s="9">
        <f>J25*100/$J$85</f>
        <v>2.4347457559808681</v>
      </c>
      <c r="L25" s="9">
        <f>J25*D25</f>
        <v>90.2</v>
      </c>
      <c r="M25" s="9">
        <f>100*L25/$L$85</f>
        <v>54.248927350603203</v>
      </c>
      <c r="N25" s="12">
        <f>G25*(E25+M25)</f>
        <v>3374.4422668179332</v>
      </c>
      <c r="O25" s="9">
        <f>(G25*(E25+M25))/2</f>
        <v>1687.2211334089666</v>
      </c>
    </row>
    <row r="26" spans="1:15" x14ac:dyDescent="0.3">
      <c r="B26" t="s">
        <v>37</v>
      </c>
      <c r="E26" s="9"/>
      <c r="I26" s="9"/>
      <c r="K26" s="9"/>
      <c r="M26" s="9"/>
    </row>
    <row r="27" spans="1:15" x14ac:dyDescent="0.3">
      <c r="A27" t="s">
        <v>177</v>
      </c>
      <c r="B27" s="11" t="s">
        <v>38</v>
      </c>
      <c r="C27" s="8" t="s">
        <v>17</v>
      </c>
      <c r="D27" s="8">
        <v>1</v>
      </c>
      <c r="E27" s="9">
        <f t="shared" ref="E27:E35" si="0">D27*100/$D$85</f>
        <v>4.775549188156638E-2</v>
      </c>
      <c r="F27" s="8">
        <v>1</v>
      </c>
      <c r="G27" s="9">
        <f t="shared" ref="G27:G35" si="1">100*F27/$F$85</f>
        <v>0.72992700729927007</v>
      </c>
      <c r="H27" s="8">
        <v>0.01</v>
      </c>
      <c r="I27" s="9">
        <f t="shared" ref="I27:I35" si="2">H27*100/$H$85</f>
        <v>0.18277529403223131</v>
      </c>
      <c r="J27" s="8">
        <v>0.03</v>
      </c>
      <c r="K27" s="9">
        <f t="shared" ref="K27:K35" si="3">J27*100/$J$85</f>
        <v>0.36521186339713019</v>
      </c>
      <c r="L27" s="9">
        <f t="shared" ref="L27:L35" si="4">J27*D27</f>
        <v>0.03</v>
      </c>
      <c r="M27" s="9">
        <f t="shared" ref="M27:M35" si="5">100*L27/$L$85</f>
        <v>1.8042880493548737E-2</v>
      </c>
      <c r="N27" s="12">
        <f t="shared" ref="N27:N35" si="6">G27*(E27+M27)</f>
        <v>4.8028009032930738E-2</v>
      </c>
      <c r="O27" s="9">
        <f t="shared" ref="O27:O35" si="7">(G27*(E27+M27))/2</f>
        <v>2.4014004516465369E-2</v>
      </c>
    </row>
    <row r="28" spans="1:15" x14ac:dyDescent="0.3">
      <c r="A28" t="s">
        <v>178</v>
      </c>
      <c r="B28" s="11" t="s">
        <v>39</v>
      </c>
      <c r="C28" s="8" t="s">
        <v>17</v>
      </c>
      <c r="D28" s="8">
        <v>67</v>
      </c>
      <c r="E28" s="9">
        <f t="shared" si="0"/>
        <v>3.1996179560649476</v>
      </c>
      <c r="F28" s="8">
        <v>26</v>
      </c>
      <c r="G28" s="9">
        <f t="shared" si="1"/>
        <v>18.978102189781023</v>
      </c>
      <c r="H28" s="8">
        <v>0.05</v>
      </c>
      <c r="I28" s="9">
        <f t="shared" si="2"/>
        <v>0.91387647016115658</v>
      </c>
      <c r="J28" s="8">
        <v>0.05</v>
      </c>
      <c r="K28" s="9">
        <f t="shared" si="3"/>
        <v>0.60868643899521702</v>
      </c>
      <c r="L28" s="9">
        <f t="shared" si="4"/>
        <v>3.35</v>
      </c>
      <c r="M28" s="9">
        <f t="shared" si="5"/>
        <v>2.014788321779609</v>
      </c>
      <c r="N28" s="12">
        <f t="shared" si="6"/>
        <v>98.959535199969693</v>
      </c>
      <c r="O28" s="9">
        <f t="shared" si="7"/>
        <v>49.479767599984847</v>
      </c>
    </row>
    <row r="29" spans="1:15" x14ac:dyDescent="0.3">
      <c r="A29" t="s">
        <v>179</v>
      </c>
      <c r="B29" s="11" t="s">
        <v>40</v>
      </c>
      <c r="C29" s="8" t="s">
        <v>17</v>
      </c>
      <c r="D29" s="8">
        <v>11</v>
      </c>
      <c r="E29" s="9">
        <f t="shared" si="0"/>
        <v>0.52531041069723017</v>
      </c>
      <c r="F29" s="8">
        <v>3</v>
      </c>
      <c r="G29" s="9">
        <f t="shared" si="1"/>
        <v>2.1897810218978102</v>
      </c>
      <c r="H29" s="8">
        <v>0.06</v>
      </c>
      <c r="I29" s="9">
        <f t="shared" si="2"/>
        <v>1.0966517641933879</v>
      </c>
      <c r="J29" s="8">
        <v>7.0000000000000007E-2</v>
      </c>
      <c r="K29" s="9">
        <f t="shared" si="3"/>
        <v>0.85216101459330396</v>
      </c>
      <c r="L29" s="9">
        <f t="shared" si="4"/>
        <v>0.77</v>
      </c>
      <c r="M29" s="9">
        <f t="shared" si="5"/>
        <v>0.46310059933441761</v>
      </c>
      <c r="N29" s="12">
        <f t="shared" si="6"/>
        <v>2.1644036716021482</v>
      </c>
      <c r="O29" s="9">
        <f t="shared" si="7"/>
        <v>1.0822018358010741</v>
      </c>
    </row>
    <row r="30" spans="1:15" x14ac:dyDescent="0.3">
      <c r="A30" t="s">
        <v>180</v>
      </c>
      <c r="B30" s="11" t="s">
        <v>41</v>
      </c>
      <c r="C30" s="8" t="s">
        <v>17</v>
      </c>
      <c r="D30" s="8">
        <v>2</v>
      </c>
      <c r="E30" s="9">
        <f t="shared" si="0"/>
        <v>9.5510983763132759E-2</v>
      </c>
      <c r="F30" s="8">
        <v>1</v>
      </c>
      <c r="G30" s="9">
        <f t="shared" si="1"/>
        <v>0.72992700729927007</v>
      </c>
      <c r="H30" s="8">
        <v>0.01</v>
      </c>
      <c r="I30" s="9">
        <f t="shared" si="2"/>
        <v>0.18277529403223131</v>
      </c>
      <c r="J30" s="8">
        <v>0.1</v>
      </c>
      <c r="K30" s="9">
        <f t="shared" si="3"/>
        <v>1.217372877990434</v>
      </c>
      <c r="L30" s="9">
        <f t="shared" si="4"/>
        <v>0.2</v>
      </c>
      <c r="M30" s="9">
        <f t="shared" si="5"/>
        <v>0.12028586995699159</v>
      </c>
      <c r="N30" s="12">
        <f t="shared" si="6"/>
        <v>0.15751595162052873</v>
      </c>
      <c r="O30" s="9">
        <f t="shared" si="7"/>
        <v>7.8757975810264363E-2</v>
      </c>
    </row>
    <row r="31" spans="1:15" x14ac:dyDescent="0.3">
      <c r="A31" t="s">
        <v>181</v>
      </c>
      <c r="B31" s="11" t="s">
        <v>42</v>
      </c>
      <c r="C31" s="8" t="s">
        <v>17</v>
      </c>
      <c r="D31" s="8">
        <v>88</v>
      </c>
      <c r="E31" s="9">
        <f t="shared" si="0"/>
        <v>4.2024832855778413</v>
      </c>
      <c r="F31" s="8">
        <v>30</v>
      </c>
      <c r="G31" s="9">
        <f t="shared" si="1"/>
        <v>21.897810218978101</v>
      </c>
      <c r="H31" s="8">
        <v>0.01</v>
      </c>
      <c r="I31" s="9">
        <f t="shared" si="2"/>
        <v>0.18277529403223131</v>
      </c>
      <c r="J31" s="8">
        <v>0.01</v>
      </c>
      <c r="K31" s="9">
        <f t="shared" si="3"/>
        <v>0.1217372877990434</v>
      </c>
      <c r="L31" s="9">
        <f t="shared" si="4"/>
        <v>0.88</v>
      </c>
      <c r="M31" s="9">
        <f t="shared" si="5"/>
        <v>0.52925782781076303</v>
      </c>
      <c r="N31" s="12">
        <f t="shared" si="6"/>
        <v>103.61476890631981</v>
      </c>
      <c r="O31" s="9">
        <f t="shared" si="7"/>
        <v>51.807384453159905</v>
      </c>
    </row>
    <row r="32" spans="1:15" x14ac:dyDescent="0.3">
      <c r="A32" t="s">
        <v>182</v>
      </c>
      <c r="B32" s="11" t="s">
        <v>43</v>
      </c>
      <c r="C32" s="8" t="s">
        <v>17</v>
      </c>
      <c r="D32" s="8">
        <v>5</v>
      </c>
      <c r="E32" s="9">
        <f t="shared" si="0"/>
        <v>0.2387774594078319</v>
      </c>
      <c r="F32" s="8">
        <v>5</v>
      </c>
      <c r="G32" s="9">
        <f t="shared" si="1"/>
        <v>3.6496350364963503</v>
      </c>
      <c r="H32" s="8">
        <v>0.08</v>
      </c>
      <c r="I32" s="9">
        <f t="shared" si="2"/>
        <v>1.4622023522578504</v>
      </c>
      <c r="J32" s="8">
        <v>0.1</v>
      </c>
      <c r="K32" s="9">
        <f t="shared" si="3"/>
        <v>1.217372877990434</v>
      </c>
      <c r="L32" s="9">
        <f t="shared" si="4"/>
        <v>0.5</v>
      </c>
      <c r="M32" s="9">
        <f t="shared" si="5"/>
        <v>0.30071467489247894</v>
      </c>
      <c r="N32" s="12">
        <f t="shared" si="6"/>
        <v>1.9689493952566088</v>
      </c>
      <c r="O32" s="9">
        <f t="shared" si="7"/>
        <v>0.98447469762830442</v>
      </c>
    </row>
    <row r="33" spans="1:15" x14ac:dyDescent="0.3">
      <c r="A33" t="s">
        <v>183</v>
      </c>
      <c r="B33" s="11" t="s">
        <v>44</v>
      </c>
      <c r="C33" s="8" t="s">
        <v>17</v>
      </c>
      <c r="D33" s="8">
        <v>1</v>
      </c>
      <c r="E33" s="9">
        <f t="shared" si="0"/>
        <v>4.775549188156638E-2</v>
      </c>
      <c r="F33" s="8">
        <v>1</v>
      </c>
      <c r="G33" s="9">
        <f t="shared" si="1"/>
        <v>0.72992700729927007</v>
      </c>
      <c r="H33" s="8">
        <v>0.03</v>
      </c>
      <c r="I33" s="9">
        <f t="shared" si="2"/>
        <v>0.54832588209669397</v>
      </c>
      <c r="J33" s="8">
        <v>0.1</v>
      </c>
      <c r="K33" s="9">
        <f t="shared" si="3"/>
        <v>1.217372877990434</v>
      </c>
      <c r="L33" s="9">
        <f t="shared" si="4"/>
        <v>0.1</v>
      </c>
      <c r="M33" s="9">
        <f t="shared" si="5"/>
        <v>6.0142934978495793E-2</v>
      </c>
      <c r="N33" s="12">
        <f t="shared" si="6"/>
        <v>7.8757975810264363E-2</v>
      </c>
      <c r="O33" s="9">
        <f t="shared" si="7"/>
        <v>3.9378987905132182E-2</v>
      </c>
    </row>
    <row r="34" spans="1:15" x14ac:dyDescent="0.3">
      <c r="A34" t="s">
        <v>184</v>
      </c>
      <c r="B34" s="11" t="s">
        <v>45</v>
      </c>
      <c r="C34" s="8" t="s">
        <v>17</v>
      </c>
      <c r="D34" s="8">
        <v>32</v>
      </c>
      <c r="E34" s="9">
        <f t="shared" si="0"/>
        <v>1.5281757402101241</v>
      </c>
      <c r="F34" s="8">
        <v>15</v>
      </c>
      <c r="G34" s="9">
        <f t="shared" si="1"/>
        <v>10.948905109489051</v>
      </c>
      <c r="H34" s="8">
        <v>0.01</v>
      </c>
      <c r="I34" s="9">
        <f t="shared" si="2"/>
        <v>0.18277529403223131</v>
      </c>
      <c r="J34" s="8">
        <v>0.01</v>
      </c>
      <c r="K34" s="9">
        <f t="shared" si="3"/>
        <v>0.1217372877990434</v>
      </c>
      <c r="L34" s="9">
        <f t="shared" si="4"/>
        <v>0.32</v>
      </c>
      <c r="M34" s="9">
        <f t="shared" si="5"/>
        <v>0.19245739193118655</v>
      </c>
      <c r="N34" s="12">
        <f t="shared" si="6"/>
        <v>18.839048892058145</v>
      </c>
      <c r="O34" s="9">
        <f t="shared" si="7"/>
        <v>9.4195244460290724</v>
      </c>
    </row>
    <row r="35" spans="1:15" x14ac:dyDescent="0.3">
      <c r="A35" t="s">
        <v>185</v>
      </c>
      <c r="B35" s="11" t="s">
        <v>46</v>
      </c>
      <c r="C35" s="8" t="s">
        <v>29</v>
      </c>
      <c r="D35" s="8">
        <v>132</v>
      </c>
      <c r="E35" s="9">
        <f t="shared" si="0"/>
        <v>6.303724928366762</v>
      </c>
      <c r="F35" s="8">
        <v>28</v>
      </c>
      <c r="G35" s="9">
        <f t="shared" si="1"/>
        <v>20.437956204379564</v>
      </c>
      <c r="H35" s="8">
        <v>0.02</v>
      </c>
      <c r="I35" s="9">
        <f t="shared" si="2"/>
        <v>0.36555058806446261</v>
      </c>
      <c r="J35" s="8">
        <v>0.03</v>
      </c>
      <c r="K35" s="9">
        <f t="shared" si="3"/>
        <v>0.36521186339713019</v>
      </c>
      <c r="L35" s="9">
        <f t="shared" si="4"/>
        <v>3.96</v>
      </c>
      <c r="M35" s="9">
        <f t="shared" si="5"/>
        <v>2.3816602251484333</v>
      </c>
      <c r="N35" s="12">
        <f t="shared" si="6"/>
        <v>177.51152138571203</v>
      </c>
      <c r="O35" s="9">
        <f t="shared" si="7"/>
        <v>88.755760692856015</v>
      </c>
    </row>
    <row r="36" spans="1:15" x14ac:dyDescent="0.3">
      <c r="B36" t="s">
        <v>47</v>
      </c>
      <c r="E36" s="9"/>
      <c r="I36" s="9"/>
      <c r="K36" s="9"/>
      <c r="M36" s="9"/>
    </row>
    <row r="37" spans="1:15" x14ac:dyDescent="0.3">
      <c r="A37" t="s">
        <v>186</v>
      </c>
      <c r="B37" s="15" t="s">
        <v>48</v>
      </c>
      <c r="C37" s="8" t="s">
        <v>17</v>
      </c>
      <c r="D37" s="8">
        <v>5</v>
      </c>
      <c r="E37" s="9">
        <f>D37*100/$D$85</f>
        <v>0.2387774594078319</v>
      </c>
      <c r="F37" s="8">
        <v>4</v>
      </c>
      <c r="G37" s="9">
        <f>100*F37/$F$85</f>
        <v>2.9197080291970803</v>
      </c>
      <c r="H37" s="8">
        <v>0.04</v>
      </c>
      <c r="I37" s="9">
        <f>H37*100/$H$85</f>
        <v>0.73110117612892522</v>
      </c>
      <c r="J37" s="8">
        <v>0.01</v>
      </c>
      <c r="K37" s="9">
        <f>J37*100/$J$85</f>
        <v>0.1217372877990434</v>
      </c>
      <c r="L37" s="9">
        <f>J37*D37</f>
        <v>0.05</v>
      </c>
      <c r="M37" s="9">
        <f>100*L37/$L$85</f>
        <v>3.0071467489247897E-2</v>
      </c>
      <c r="N37" s="12">
        <f>G37*(E37+M37)</f>
        <v>0.78496037050242273</v>
      </c>
      <c r="O37" s="9">
        <f>(G37*(E37+M37))/2</f>
        <v>0.39248018525121137</v>
      </c>
    </row>
    <row r="38" spans="1:15" x14ac:dyDescent="0.3">
      <c r="A38" t="s">
        <v>187</v>
      </c>
      <c r="B38" s="15" t="s">
        <v>49</v>
      </c>
      <c r="C38" s="8" t="s">
        <v>17</v>
      </c>
      <c r="D38" s="8">
        <v>44</v>
      </c>
      <c r="E38" s="9">
        <f>D38*100/$D$85</f>
        <v>2.1012416427889207</v>
      </c>
      <c r="F38" s="8">
        <v>16</v>
      </c>
      <c r="G38" s="9">
        <f>100*F38/$F$85</f>
        <v>11.678832116788321</v>
      </c>
      <c r="H38" s="8">
        <v>0.09</v>
      </c>
      <c r="I38" s="9">
        <f>H38*100/$H$85</f>
        <v>1.6449776462900818</v>
      </c>
      <c r="J38" s="8">
        <v>0.02</v>
      </c>
      <c r="K38" s="9">
        <f>J38*100/$J$85</f>
        <v>0.2434745755980868</v>
      </c>
      <c r="L38" s="9">
        <f>J38*D38</f>
        <v>0.88</v>
      </c>
      <c r="M38" s="9">
        <f>100*L38/$L$85</f>
        <v>0.52925782781076303</v>
      </c>
      <c r="N38" s="12">
        <f>G38*(E38+M38)</f>
        <v>30.721161700434262</v>
      </c>
      <c r="O38" s="9">
        <f>(G38*(E38+M38))/2</f>
        <v>15.360580850217131</v>
      </c>
    </row>
    <row r="39" spans="1:15" x14ac:dyDescent="0.3">
      <c r="B39" t="s">
        <v>50</v>
      </c>
      <c r="E39" s="9"/>
      <c r="I39" s="9"/>
      <c r="K39" s="9"/>
      <c r="M39" s="9"/>
    </row>
    <row r="40" spans="1:15" x14ac:dyDescent="0.3">
      <c r="A40" t="s">
        <v>188</v>
      </c>
      <c r="B40" s="15" t="s">
        <v>51</v>
      </c>
      <c r="C40" s="8" t="s">
        <v>17</v>
      </c>
      <c r="D40" s="8">
        <v>69</v>
      </c>
      <c r="E40" s="9">
        <f>D40*100/$D$85</f>
        <v>3.2951289398280803</v>
      </c>
      <c r="F40" s="8">
        <v>10</v>
      </c>
      <c r="G40" s="9">
        <f>100*F40/$F$85</f>
        <v>7.2992700729927007</v>
      </c>
      <c r="H40" s="8">
        <v>0.08</v>
      </c>
      <c r="I40" s="9">
        <f>H40*100/$H$85</f>
        <v>1.4622023522578504</v>
      </c>
      <c r="J40" s="8">
        <v>0.1</v>
      </c>
      <c r="K40" s="9">
        <f>J40*100/$J$85</f>
        <v>1.217372877990434</v>
      </c>
      <c r="L40" s="9">
        <f>J40*D40</f>
        <v>6.9</v>
      </c>
      <c r="M40" s="9">
        <f>100*L40/$L$85</f>
        <v>4.1498625135162097</v>
      </c>
      <c r="N40" s="12">
        <f>G40*(E40+M40)</f>
        <v>54.343003309082405</v>
      </c>
      <c r="O40" s="9">
        <f>(G40*(E40+M40))/2</f>
        <v>27.171501654541203</v>
      </c>
    </row>
    <row r="41" spans="1:15" x14ac:dyDescent="0.3">
      <c r="A41" t="s">
        <v>189</v>
      </c>
      <c r="B41" s="15" t="s">
        <v>52</v>
      </c>
      <c r="C41" s="8" t="s">
        <v>17</v>
      </c>
      <c r="D41" s="8">
        <v>2</v>
      </c>
      <c r="E41" s="9">
        <f>D41*100/$D$85</f>
        <v>9.5510983763132759E-2</v>
      </c>
      <c r="F41" s="8">
        <v>2</v>
      </c>
      <c r="G41" s="9">
        <f>100*F41/$F$85</f>
        <v>1.4598540145985401</v>
      </c>
      <c r="H41" s="8">
        <v>0.01</v>
      </c>
      <c r="I41" s="9">
        <f>H41*100/$H$85</f>
        <v>0.18277529403223131</v>
      </c>
      <c r="J41" s="8">
        <v>0.05</v>
      </c>
      <c r="K41" s="9">
        <f>J41*100/$J$85</f>
        <v>0.60868643899521702</v>
      </c>
      <c r="L41" s="9">
        <f>J41*D41</f>
        <v>0.1</v>
      </c>
      <c r="M41" s="9">
        <f>100*L41/$L$85</f>
        <v>6.0142934978495793E-2</v>
      </c>
      <c r="N41" s="12">
        <f>G41*(E41+M41)</f>
        <v>0.22723199816296136</v>
      </c>
      <c r="O41" s="9">
        <f>(G41*(E41+M41))/2</f>
        <v>0.11361599908148068</v>
      </c>
    </row>
    <row r="42" spans="1:15" x14ac:dyDescent="0.3">
      <c r="A42" t="s">
        <v>190</v>
      </c>
      <c r="B42" s="15" t="s">
        <v>53</v>
      </c>
      <c r="C42" s="8" t="s">
        <v>17</v>
      </c>
      <c r="D42" s="8">
        <v>2</v>
      </c>
      <c r="E42" s="9">
        <f>D42*100/$D$85</f>
        <v>9.5510983763132759E-2</v>
      </c>
      <c r="F42" s="8">
        <v>1</v>
      </c>
      <c r="G42" s="9">
        <f>100*F42/$F$85</f>
        <v>0.72992700729927007</v>
      </c>
      <c r="H42" s="8">
        <v>0.01</v>
      </c>
      <c r="I42" s="9">
        <f>H42*100/$H$85</f>
        <v>0.18277529403223131</v>
      </c>
      <c r="J42" s="8">
        <v>0.05</v>
      </c>
      <c r="K42" s="9">
        <f>J42*100/$J$85</f>
        <v>0.60868643899521702</v>
      </c>
      <c r="L42" s="9">
        <f>J42*D42</f>
        <v>0.1</v>
      </c>
      <c r="M42" s="9">
        <f>100*L42/$L$85</f>
        <v>6.0142934978495793E-2</v>
      </c>
      <c r="N42" s="12">
        <f>G42*(E42+M42)</f>
        <v>0.11361599908148068</v>
      </c>
      <c r="O42" s="9">
        <f>(G42*(E42+M42))/2</f>
        <v>5.6807999540740339E-2</v>
      </c>
    </row>
    <row r="43" spans="1:15" x14ac:dyDescent="0.3">
      <c r="B43" t="s">
        <v>54</v>
      </c>
      <c r="E43" s="9"/>
      <c r="I43" s="9"/>
      <c r="K43" s="9"/>
      <c r="M43" s="9"/>
    </row>
    <row r="44" spans="1:15" x14ac:dyDescent="0.3">
      <c r="A44" t="s">
        <v>191</v>
      </c>
      <c r="B44" s="15" t="s">
        <v>55</v>
      </c>
      <c r="C44" s="8" t="s">
        <v>17</v>
      </c>
      <c r="D44" s="8">
        <v>1</v>
      </c>
      <c r="E44" s="9">
        <f>D44*100/$D$85</f>
        <v>4.775549188156638E-2</v>
      </c>
      <c r="F44" s="8">
        <v>1</v>
      </c>
      <c r="G44" s="9">
        <f>100*F44/$F$85</f>
        <v>0.72992700729927007</v>
      </c>
      <c r="H44" s="8">
        <v>0.01</v>
      </c>
      <c r="I44" s="9">
        <f>H44*100/$H$85</f>
        <v>0.18277529403223131</v>
      </c>
      <c r="J44" s="9">
        <v>6.7732737611378852E-3</v>
      </c>
      <c r="K44" s="9">
        <f>J44*100/$J$85</f>
        <v>8.2455997720135191E-2</v>
      </c>
      <c r="L44" s="9">
        <f>J44*D44</f>
        <v>6.7732737611378852E-3</v>
      </c>
      <c r="M44" s="9">
        <f>100*L44/$L$85</f>
        <v>4.0736456340766747E-3</v>
      </c>
      <c r="N44" s="12">
        <f>G44*(E44+M44)</f>
        <v>3.7831487237695659E-2</v>
      </c>
      <c r="O44" s="9">
        <f>(G44*(E44+M44))/2</f>
        <v>1.8915743618847829E-2</v>
      </c>
    </row>
    <row r="45" spans="1:15" x14ac:dyDescent="0.3">
      <c r="A45" t="s">
        <v>192</v>
      </c>
      <c r="B45" s="15" t="s">
        <v>56</v>
      </c>
      <c r="C45" s="8" t="s">
        <v>17</v>
      </c>
      <c r="D45" s="8">
        <v>5</v>
      </c>
      <c r="E45" s="9">
        <f>D45*100/$D$85</f>
        <v>0.2387774594078319</v>
      </c>
      <c r="F45" s="8">
        <v>3</v>
      </c>
      <c r="G45" s="9">
        <f>100*F45/$F$85</f>
        <v>2.1897810218978102</v>
      </c>
      <c r="H45" s="8">
        <v>0.1</v>
      </c>
      <c r="I45" s="9">
        <f>H45*100/$H$85</f>
        <v>1.8277529403223132</v>
      </c>
      <c r="J45" s="9">
        <v>0.25048965424616293</v>
      </c>
      <c r="K45" s="9">
        <f>J45*100/$J$85</f>
        <v>3.0493931129648009</v>
      </c>
      <c r="L45" s="9">
        <f>J45*D45</f>
        <v>1.2524482712308147</v>
      </c>
      <c r="M45" s="9">
        <f>100*L45/$L$85</f>
        <v>0.75325914940564354</v>
      </c>
      <c r="N45" s="12">
        <f>G45*(E45+M45)</f>
        <v>2.1723429390076103</v>
      </c>
      <c r="O45" s="9">
        <f>(G45*(E45+M45))/2</f>
        <v>1.0861714695038052</v>
      </c>
    </row>
    <row r="46" spans="1:15" x14ac:dyDescent="0.3">
      <c r="A46" t="s">
        <v>193</v>
      </c>
      <c r="B46" s="15" t="s">
        <v>57</v>
      </c>
      <c r="C46" s="8" t="s">
        <v>17</v>
      </c>
      <c r="D46" s="8">
        <v>1</v>
      </c>
      <c r="E46" s="9">
        <f>D46*100/$D$85</f>
        <v>4.775549188156638E-2</v>
      </c>
      <c r="F46" s="8">
        <v>1</v>
      </c>
      <c r="G46" s="9">
        <f>100*F46/$F$85</f>
        <v>0.72992700729927007</v>
      </c>
      <c r="H46" s="8">
        <v>0.01</v>
      </c>
      <c r="I46" s="9">
        <f>H46*100/$H$85</f>
        <v>0.18277529403223131</v>
      </c>
      <c r="J46" s="9">
        <v>5.6847119066692951E-2</v>
      </c>
      <c r="K46" s="9">
        <f>J46*100/$J$85</f>
        <v>0.69204140943684878</v>
      </c>
      <c r="L46" s="9">
        <f>J46*D46</f>
        <v>5.6847119066692951E-2</v>
      </c>
      <c r="M46" s="9">
        <f>100*L46/$L$85</f>
        <v>3.418952585742923E-2</v>
      </c>
      <c r="N46" s="12">
        <f>G46*(E46+M46)</f>
        <v>5.9813881561310664E-2</v>
      </c>
      <c r="O46" s="9">
        <f>(G46*(E46+M46))/2</f>
        <v>2.9906940780655332E-2</v>
      </c>
    </row>
    <row r="47" spans="1:15" x14ac:dyDescent="0.3">
      <c r="B47" t="s">
        <v>58</v>
      </c>
      <c r="E47" s="9"/>
      <c r="I47" s="9"/>
      <c r="K47" s="9"/>
      <c r="M47" s="9"/>
    </row>
    <row r="48" spans="1:15" x14ac:dyDescent="0.3">
      <c r="A48" t="s">
        <v>194</v>
      </c>
      <c r="B48" s="15" t="s">
        <v>59</v>
      </c>
      <c r="C48" s="8" t="s">
        <v>29</v>
      </c>
      <c r="D48" s="8">
        <v>4</v>
      </c>
      <c r="E48" s="9">
        <f>D48*100/$D$85</f>
        <v>0.19102196752626552</v>
      </c>
      <c r="F48" s="8">
        <v>4</v>
      </c>
      <c r="G48" s="9">
        <f>100*F48/$F$85</f>
        <v>2.9197080291970803</v>
      </c>
      <c r="H48" s="8">
        <v>0.2</v>
      </c>
      <c r="I48" s="9">
        <f>H48*100/$H$85</f>
        <v>3.6555058806446263</v>
      </c>
      <c r="J48" s="8">
        <v>0.25</v>
      </c>
      <c r="K48" s="9">
        <f>J48*100/$J$85</f>
        <v>3.0434321949760852</v>
      </c>
      <c r="L48" s="9">
        <f>J48*D48</f>
        <v>1</v>
      </c>
      <c r="M48" s="9">
        <f>100*L48/$L$85</f>
        <v>0.60142934978495788</v>
      </c>
      <c r="N48" s="12">
        <f>G48*(E48+M48)</f>
        <v>2.3137264739013821</v>
      </c>
      <c r="O48" s="9">
        <f>(G48*(E48+M48))/2</f>
        <v>1.156863236950691</v>
      </c>
    </row>
    <row r="49" spans="1:15" x14ac:dyDescent="0.3">
      <c r="A49" t="s">
        <v>195</v>
      </c>
      <c r="B49" s="15" t="s">
        <v>60</v>
      </c>
      <c r="C49" s="8" t="s">
        <v>29</v>
      </c>
      <c r="D49" s="8">
        <v>1</v>
      </c>
      <c r="E49" s="9">
        <f>D49*100/$D$85</f>
        <v>4.775549188156638E-2</v>
      </c>
      <c r="F49" s="8">
        <v>1</v>
      </c>
      <c r="G49" s="9">
        <f>100*F49/$F$85</f>
        <v>0.72992700729927007</v>
      </c>
      <c r="H49" s="8">
        <v>0.01</v>
      </c>
      <c r="I49" s="9">
        <f>H49*100/$H$85</f>
        <v>0.18277529403223131</v>
      </c>
      <c r="J49" s="8">
        <v>0.02</v>
      </c>
      <c r="K49" s="9">
        <f>J49*100/$J$85</f>
        <v>0.2434745755980868</v>
      </c>
      <c r="L49" s="9">
        <f>J49*D49</f>
        <v>0.02</v>
      </c>
      <c r="M49" s="9">
        <f>100*L49/$L$85</f>
        <v>1.2028586995699159E-2</v>
      </c>
      <c r="N49" s="12">
        <f>G49*(E49+M49)</f>
        <v>4.3638013779025944E-2</v>
      </c>
      <c r="O49" s="9">
        <f>(G49*(E49+M49))/2</f>
        <v>2.1819006889512972E-2</v>
      </c>
    </row>
    <row r="50" spans="1:15" x14ac:dyDescent="0.3">
      <c r="A50" t="s">
        <v>196</v>
      </c>
      <c r="B50" s="15" t="s">
        <v>61</v>
      </c>
      <c r="C50" s="8" t="s">
        <v>29</v>
      </c>
      <c r="D50" s="8">
        <v>1</v>
      </c>
      <c r="E50" s="9">
        <f>D50*100/$D$85</f>
        <v>4.775549188156638E-2</v>
      </c>
      <c r="F50" s="8">
        <v>1</v>
      </c>
      <c r="G50" s="9">
        <f>100*F50/$F$85</f>
        <v>0.72992700729927007</v>
      </c>
      <c r="H50" s="8">
        <v>0.01</v>
      </c>
      <c r="I50" s="9">
        <f>H50*100/$H$85</f>
        <v>0.18277529403223131</v>
      </c>
      <c r="J50" s="8">
        <v>0.01</v>
      </c>
      <c r="K50" s="9">
        <f>J50*100/$J$85</f>
        <v>0.1217372877990434</v>
      </c>
      <c r="L50" s="9">
        <f>J50*D50</f>
        <v>0.01</v>
      </c>
      <c r="M50" s="9">
        <f>100*L50/$L$85</f>
        <v>6.0142934978495797E-3</v>
      </c>
      <c r="N50" s="12">
        <f>G50*(E50+M50)</f>
        <v>3.9248018525121137E-2</v>
      </c>
      <c r="O50" s="9">
        <f>(G50*(E50+M50))/2</f>
        <v>1.9624009262560568E-2</v>
      </c>
    </row>
    <row r="51" spans="1:15" x14ac:dyDescent="0.3">
      <c r="A51" t="s">
        <v>197</v>
      </c>
      <c r="B51" s="15" t="s">
        <v>62</v>
      </c>
      <c r="C51" s="8" t="s">
        <v>29</v>
      </c>
      <c r="D51" s="8">
        <v>1</v>
      </c>
      <c r="E51" s="9">
        <f>D51*100/$D$85</f>
        <v>4.775549188156638E-2</v>
      </c>
      <c r="F51" s="8">
        <v>1</v>
      </c>
      <c r="G51" s="9">
        <f>100*F51/$F$85</f>
        <v>0.72992700729927007</v>
      </c>
      <c r="H51" s="8">
        <v>0.02</v>
      </c>
      <c r="I51" s="9">
        <f>H51*100/$H$85</f>
        <v>0.36555058806446261</v>
      </c>
      <c r="J51" s="8">
        <v>0.02</v>
      </c>
      <c r="K51" s="9">
        <f>J51*100/$J$85</f>
        <v>0.2434745755980868</v>
      </c>
      <c r="L51" s="9">
        <f>J51*D51</f>
        <v>0.02</v>
      </c>
      <c r="M51" s="9">
        <f>100*L51/$L$85</f>
        <v>1.2028586995699159E-2</v>
      </c>
      <c r="N51" s="12">
        <f>G51*(E51+M51)</f>
        <v>4.3638013779025944E-2</v>
      </c>
      <c r="O51" s="9">
        <f>(G51*(E51+M51))/2</f>
        <v>2.1819006889512972E-2</v>
      </c>
    </row>
    <row r="52" spans="1:15" x14ac:dyDescent="0.3">
      <c r="A52" t="s">
        <v>198</v>
      </c>
      <c r="B52" s="15" t="s">
        <v>63</v>
      </c>
      <c r="C52" s="8" t="s">
        <v>29</v>
      </c>
      <c r="D52" s="8">
        <v>815</v>
      </c>
      <c r="E52" s="9">
        <f>D52*100/$D$85</f>
        <v>38.920725883476599</v>
      </c>
      <c r="F52" s="8">
        <v>17</v>
      </c>
      <c r="G52" s="9">
        <f>100*F52/$F$85</f>
        <v>12.408759124087592</v>
      </c>
      <c r="H52" s="8">
        <v>1E-3</v>
      </c>
      <c r="I52" s="9">
        <f>H52*100/$H$85</f>
        <v>1.8277529403223133E-2</v>
      </c>
      <c r="J52" s="8">
        <v>2.9999999999999997E-4</v>
      </c>
      <c r="K52" s="9">
        <f>J52*100/$J$85</f>
        <v>3.6521186339713019E-3</v>
      </c>
      <c r="L52" s="9">
        <f>J52*D52</f>
        <v>0.24449999999999997</v>
      </c>
      <c r="M52" s="9">
        <f>100*L52/$L$85</f>
        <v>0.14704947602242219</v>
      </c>
      <c r="N52" s="12">
        <f>G52*(E52+M52)</f>
        <v>484.78261394998788</v>
      </c>
      <c r="O52" s="9">
        <f>(G52*(E52+M52))/2</f>
        <v>242.39130697499394</v>
      </c>
    </row>
    <row r="53" spans="1:15" x14ac:dyDescent="0.3">
      <c r="B53" t="s">
        <v>64</v>
      </c>
      <c r="I53" s="9"/>
      <c r="K53" s="9"/>
      <c r="M53" s="9"/>
    </row>
    <row r="54" spans="1:15" x14ac:dyDescent="0.3">
      <c r="A54" t="s">
        <v>199</v>
      </c>
      <c r="B54" s="15" t="s">
        <v>65</v>
      </c>
      <c r="C54" s="8" t="s">
        <v>17</v>
      </c>
      <c r="D54" s="8">
        <v>2</v>
      </c>
      <c r="E54" s="9">
        <f>D54*100/$D$85</f>
        <v>9.5510983763132759E-2</v>
      </c>
      <c r="F54" s="8">
        <v>1</v>
      </c>
      <c r="G54" s="9">
        <f>100*F54/$F$85</f>
        <v>0.72992700729927007</v>
      </c>
      <c r="H54" s="8">
        <v>0.08</v>
      </c>
      <c r="I54" s="9">
        <f>H54*100/$H$85</f>
        <v>1.4622023522578504</v>
      </c>
      <c r="J54" s="8">
        <v>0.1</v>
      </c>
      <c r="K54" s="9">
        <f>J54*100/$J$85</f>
        <v>1.217372877990434</v>
      </c>
      <c r="L54" s="9">
        <f>J54*D54</f>
        <v>0.2</v>
      </c>
      <c r="M54" s="9">
        <f>100*L54/$L$85</f>
        <v>0.12028586995699159</v>
      </c>
      <c r="N54" s="12">
        <f>G54*(E54+M54)</f>
        <v>0.15751595162052873</v>
      </c>
      <c r="O54" s="9">
        <f>(G54*(E54+M54))/2</f>
        <v>7.8757975810264363E-2</v>
      </c>
    </row>
    <row r="55" spans="1:15" x14ac:dyDescent="0.3">
      <c r="A55" t="s">
        <v>200</v>
      </c>
      <c r="B55" s="15" t="s">
        <v>66</v>
      </c>
      <c r="C55" s="8" t="s">
        <v>17</v>
      </c>
      <c r="D55" s="8">
        <v>3</v>
      </c>
      <c r="E55" s="9">
        <f>D55*100/$D$85</f>
        <v>0.14326647564469913</v>
      </c>
      <c r="F55" s="8">
        <v>3</v>
      </c>
      <c r="G55" s="9">
        <f>100*F55/$F$85</f>
        <v>2.1897810218978102</v>
      </c>
      <c r="H55" s="8">
        <v>0.65</v>
      </c>
      <c r="I55" s="9">
        <f>H55*100/$H$85</f>
        <v>11.880394112095036</v>
      </c>
      <c r="J55" s="8">
        <v>0.6</v>
      </c>
      <c r="K55" s="9">
        <f>J55*100/$J$85</f>
        <v>7.3042372679426046</v>
      </c>
      <c r="L55" s="9">
        <f>J55*D55</f>
        <v>1.7999999999999998</v>
      </c>
      <c r="M55" s="9">
        <f>100*L55/$L$85</f>
        <v>1.082572829612924</v>
      </c>
      <c r="N55" s="12">
        <f>G55*(E55+M55)</f>
        <v>2.6843196465495396</v>
      </c>
      <c r="O55" s="9">
        <f>(G55*(E55+M55))/2</f>
        <v>1.3421598232747698</v>
      </c>
    </row>
    <row r="56" spans="1:15" x14ac:dyDescent="0.3">
      <c r="B56" t="s">
        <v>67</v>
      </c>
      <c r="I56" s="9"/>
      <c r="K56" s="9"/>
      <c r="M56" s="9"/>
    </row>
    <row r="57" spans="1:15" x14ac:dyDescent="0.3">
      <c r="A57" t="s">
        <v>201</v>
      </c>
      <c r="B57" s="15" t="s">
        <v>68</v>
      </c>
      <c r="C57" s="8" t="s">
        <v>17</v>
      </c>
      <c r="D57" s="8">
        <v>8</v>
      </c>
      <c r="E57" s="9">
        <f>D57*100/$D$85</f>
        <v>0.38204393505253104</v>
      </c>
      <c r="F57" s="8">
        <v>7</v>
      </c>
      <c r="G57" s="9">
        <f>100*F57/$F$85</f>
        <v>5.1094890510948909</v>
      </c>
      <c r="H57" s="8">
        <v>0.37</v>
      </c>
      <c r="I57" s="9">
        <f>H57*100/$H$85</f>
        <v>6.762685879192559</v>
      </c>
      <c r="J57" s="8">
        <v>0.3</v>
      </c>
      <c r="K57" s="9">
        <f>J57*100/$J$85</f>
        <v>3.6521186339713023</v>
      </c>
      <c r="L57" s="9">
        <f>J57*D57</f>
        <v>2.4</v>
      </c>
      <c r="M57" s="9">
        <f>100*L57/$L$85</f>
        <v>1.443430439483899</v>
      </c>
      <c r="N57" s="12">
        <f>G57*(E57+M57)</f>
        <v>9.3272413297481833</v>
      </c>
      <c r="O57" s="9">
        <f>(G57*(E57+M57))/2</f>
        <v>4.6636206648740917</v>
      </c>
    </row>
    <row r="58" spans="1:15" x14ac:dyDescent="0.3">
      <c r="B58" t="s">
        <v>69</v>
      </c>
      <c r="E58" s="9"/>
      <c r="I58" s="9"/>
      <c r="K58" s="9"/>
      <c r="M58" s="9"/>
    </row>
    <row r="59" spans="1:15" x14ac:dyDescent="0.3">
      <c r="A59" t="s">
        <v>202</v>
      </c>
      <c r="B59" s="15" t="s">
        <v>70</v>
      </c>
      <c r="C59" s="8" t="s">
        <v>17</v>
      </c>
      <c r="D59" s="8">
        <v>4</v>
      </c>
      <c r="E59" s="9">
        <f>D59*100/$D$85</f>
        <v>0.19102196752626552</v>
      </c>
      <c r="F59" s="8">
        <v>3</v>
      </c>
      <c r="G59" s="9">
        <f>100*F59/$F$85</f>
        <v>2.1897810218978102</v>
      </c>
      <c r="H59" s="8">
        <v>0.01</v>
      </c>
      <c r="I59" s="9">
        <f>H59*100/$H$85</f>
        <v>0.18277529403223131</v>
      </c>
      <c r="J59" s="8">
        <v>0.01</v>
      </c>
      <c r="K59" s="9">
        <f>J59*100/$J$85</f>
        <v>0.1217372877990434</v>
      </c>
      <c r="L59" s="9">
        <f>J59*D59</f>
        <v>0.04</v>
      </c>
      <c r="M59" s="9">
        <f>100*L59/$L$85</f>
        <v>2.4057173991398319E-2</v>
      </c>
      <c r="N59" s="12">
        <f>G59*(E59+M59)</f>
        <v>0.47097622230145364</v>
      </c>
      <c r="O59" s="9">
        <f>(G59*(E59+M59))/2</f>
        <v>0.23548811115072682</v>
      </c>
    </row>
    <row r="60" spans="1:15" x14ac:dyDescent="0.3">
      <c r="B60" t="s">
        <v>71</v>
      </c>
      <c r="I60" s="9"/>
      <c r="K60" s="9"/>
      <c r="M60" s="9"/>
    </row>
    <row r="61" spans="1:15" x14ac:dyDescent="0.3">
      <c r="B61" t="s">
        <v>72</v>
      </c>
      <c r="I61" s="9"/>
      <c r="K61" s="9"/>
      <c r="M61" s="9"/>
    </row>
    <row r="62" spans="1:15" x14ac:dyDescent="0.3">
      <c r="B62" t="s">
        <v>73</v>
      </c>
      <c r="I62" s="9"/>
      <c r="K62" s="9"/>
      <c r="M62" s="9"/>
    </row>
    <row r="63" spans="1:15" x14ac:dyDescent="0.3">
      <c r="A63" t="s">
        <v>203</v>
      </c>
      <c r="B63" s="15" t="s">
        <v>74</v>
      </c>
      <c r="C63" s="8" t="s">
        <v>29</v>
      </c>
      <c r="D63" s="8">
        <v>11</v>
      </c>
      <c r="E63" s="9">
        <f>D63*100/$D$85</f>
        <v>0.52531041069723017</v>
      </c>
      <c r="F63" s="8">
        <v>7</v>
      </c>
      <c r="G63" s="9">
        <f>100*F63/$F$85</f>
        <v>5.1094890510948909</v>
      </c>
      <c r="H63" s="8">
        <v>1.52</v>
      </c>
      <c r="I63" s="9">
        <f>H63*100/$H$85</f>
        <v>27.78184469289916</v>
      </c>
      <c r="J63" s="8">
        <v>3</v>
      </c>
      <c r="K63" s="9">
        <f>J63*100/$J$85</f>
        <v>36.521186339713019</v>
      </c>
      <c r="L63" s="9">
        <f>J63*D63</f>
        <v>33</v>
      </c>
      <c r="M63" s="9">
        <f>100*L63/$L$85</f>
        <v>19.84716854290361</v>
      </c>
      <c r="N63" s="12">
        <f>G63*(E63+M63)</f>
        <v>104.0929581570846</v>
      </c>
      <c r="O63" s="9">
        <f>(G63*(E63+M63))/2</f>
        <v>52.046479078542298</v>
      </c>
    </row>
    <row r="64" spans="1:15" x14ac:dyDescent="0.3">
      <c r="B64" t="s">
        <v>75</v>
      </c>
      <c r="I64" s="9"/>
      <c r="K64" s="9"/>
      <c r="M64" s="9"/>
    </row>
    <row r="65" spans="1:15" x14ac:dyDescent="0.3">
      <c r="B65" t="s">
        <v>76</v>
      </c>
      <c r="I65" s="9"/>
      <c r="K65" s="9"/>
      <c r="M65" s="9"/>
    </row>
    <row r="66" spans="1:15" x14ac:dyDescent="0.3">
      <c r="A66" t="s">
        <v>204</v>
      </c>
      <c r="B66" s="15" t="s">
        <v>77</v>
      </c>
      <c r="C66" s="8" t="s">
        <v>29</v>
      </c>
      <c r="D66" s="8">
        <v>8</v>
      </c>
      <c r="E66" s="9">
        <f>D66*100/$D$85</f>
        <v>0.38204393505253104</v>
      </c>
      <c r="F66" s="8">
        <v>4</v>
      </c>
      <c r="G66" s="9">
        <f>100*F66/$F$85</f>
        <v>2.9197080291970803</v>
      </c>
      <c r="H66" s="8">
        <v>0.01</v>
      </c>
      <c r="I66" s="9">
        <f>H66*100/$H$85</f>
        <v>0.18277529403223131</v>
      </c>
      <c r="J66" s="8">
        <v>0.01</v>
      </c>
      <c r="K66" s="9">
        <f>J66*100/$J$85</f>
        <v>0.1217372877990434</v>
      </c>
      <c r="L66" s="9">
        <f>J66*D66</f>
        <v>0.08</v>
      </c>
      <c r="M66" s="9">
        <f>100*L66/$L$85</f>
        <v>4.8114347982796637E-2</v>
      </c>
      <c r="N66" s="12">
        <f>G66*(E66+M66)</f>
        <v>1.2559365928038764</v>
      </c>
      <c r="O66" s="9">
        <f>(G66*(E66+M66))/2</f>
        <v>0.62796829640193819</v>
      </c>
    </row>
    <row r="67" spans="1:15" x14ac:dyDescent="0.3">
      <c r="A67" t="s">
        <v>205</v>
      </c>
      <c r="B67" s="15" t="s">
        <v>78</v>
      </c>
      <c r="C67" s="8" t="s">
        <v>29</v>
      </c>
      <c r="D67" s="8">
        <v>1</v>
      </c>
      <c r="E67" s="9">
        <f>D67*100/$D$85</f>
        <v>4.775549188156638E-2</v>
      </c>
      <c r="F67" s="8">
        <v>1</v>
      </c>
      <c r="G67" s="9">
        <f>100*F67/$F$85</f>
        <v>0.72992700729927007</v>
      </c>
      <c r="H67" s="8">
        <v>0.64</v>
      </c>
      <c r="I67" s="9">
        <f>H67*100/$H$85</f>
        <v>11.697618818062804</v>
      </c>
      <c r="J67" s="8">
        <v>0.5</v>
      </c>
      <c r="K67" s="9">
        <f>J67*100/$J$85</f>
        <v>6.0868643899521704</v>
      </c>
      <c r="L67" s="9">
        <f>J67*D67</f>
        <v>0.5</v>
      </c>
      <c r="M67" s="9">
        <f>100*L67/$L$85</f>
        <v>0.30071467489247894</v>
      </c>
      <c r="N67" s="12">
        <f>G67*(E67+M67)</f>
        <v>0.25435778596645642</v>
      </c>
      <c r="O67" s="9">
        <f>(G67*(E67+M67))/2</f>
        <v>0.12717889298322821</v>
      </c>
    </row>
    <row r="68" spans="1:15" x14ac:dyDescent="0.3">
      <c r="B68" s="10" t="s">
        <v>79</v>
      </c>
      <c r="C68"/>
      <c r="I68" s="9"/>
      <c r="K68" s="9"/>
      <c r="M68" s="9"/>
    </row>
    <row r="69" spans="1:15" x14ac:dyDescent="0.3">
      <c r="B69" t="s">
        <v>80</v>
      </c>
      <c r="I69" s="9"/>
      <c r="K69" s="9"/>
      <c r="M69" s="9"/>
    </row>
    <row r="70" spans="1:15" x14ac:dyDescent="0.3">
      <c r="B70" t="s">
        <v>81</v>
      </c>
      <c r="I70" s="9"/>
      <c r="K70" s="9"/>
      <c r="M70" s="9"/>
    </row>
    <row r="71" spans="1:15" x14ac:dyDescent="0.3">
      <c r="A71" t="s">
        <v>206</v>
      </c>
      <c r="B71" t="s">
        <v>82</v>
      </c>
      <c r="C71" s="8" t="s">
        <v>29</v>
      </c>
      <c r="D71" s="8">
        <v>1</v>
      </c>
      <c r="E71" s="9">
        <f>D71*100/$D$85</f>
        <v>4.775549188156638E-2</v>
      </c>
      <c r="F71" s="8">
        <v>1</v>
      </c>
      <c r="G71" s="9">
        <f>100*F71/$F$85</f>
        <v>0.72992700729927007</v>
      </c>
      <c r="H71" s="8">
        <v>0.01</v>
      </c>
      <c r="I71" s="9">
        <f>H71*100/$H$85</f>
        <v>0.18277529403223131</v>
      </c>
      <c r="J71" s="8">
        <v>0.02</v>
      </c>
      <c r="K71" s="9">
        <f>J71*100/$J$85</f>
        <v>0.2434745755980868</v>
      </c>
      <c r="L71" s="9">
        <f>J71*D71</f>
        <v>0.02</v>
      </c>
      <c r="M71" s="9">
        <f>100*L71/$L$85</f>
        <v>1.2028586995699159E-2</v>
      </c>
      <c r="N71" s="12">
        <f>G71*(E71+M71)</f>
        <v>4.3638013779025944E-2</v>
      </c>
      <c r="O71" s="9">
        <f>(G71*(E71+M71))/2</f>
        <v>2.1819006889512972E-2</v>
      </c>
    </row>
    <row r="72" spans="1:15" x14ac:dyDescent="0.3">
      <c r="B72" t="s">
        <v>83</v>
      </c>
      <c r="C72"/>
      <c r="I72" s="9"/>
      <c r="K72" s="9"/>
      <c r="M72" s="9"/>
    </row>
    <row r="73" spans="1:15" x14ac:dyDescent="0.3">
      <c r="A73" t="s">
        <v>207</v>
      </c>
      <c r="B73" s="15" t="s">
        <v>84</v>
      </c>
      <c r="C73" s="8" t="s">
        <v>17</v>
      </c>
      <c r="D73" s="8">
        <v>2</v>
      </c>
      <c r="E73" s="9">
        <f>D73*100/$D$85</f>
        <v>9.5510983763132759E-2</v>
      </c>
      <c r="F73" s="8">
        <v>2</v>
      </c>
      <c r="G73" s="9">
        <f>100*F73/$F$85</f>
        <v>1.4598540145985401</v>
      </c>
      <c r="H73" s="8">
        <v>0.1</v>
      </c>
      <c r="I73" s="9">
        <f>H73*100/$H$85</f>
        <v>1.8277529403223132</v>
      </c>
      <c r="J73" s="8">
        <v>0.02</v>
      </c>
      <c r="K73" s="9">
        <f>J73*100/$J$85</f>
        <v>0.2434745755980868</v>
      </c>
      <c r="L73" s="9">
        <f>J73*D73</f>
        <v>0.04</v>
      </c>
      <c r="M73" s="9">
        <f>100*L73/$L$85</f>
        <v>2.4057173991398319E-2</v>
      </c>
      <c r="N73" s="12">
        <f>G73*(E73+M73)</f>
        <v>0.17455205511610378</v>
      </c>
      <c r="O73" s="9">
        <f>(G73*(E73+M73))/2</f>
        <v>8.7276027558051888E-2</v>
      </c>
    </row>
    <row r="74" spans="1:15" x14ac:dyDescent="0.3">
      <c r="B74" t="s">
        <v>85</v>
      </c>
      <c r="I74" s="9"/>
      <c r="K74" s="9"/>
      <c r="M74" s="9"/>
    </row>
    <row r="75" spans="1:15" x14ac:dyDescent="0.3">
      <c r="A75" t="s">
        <v>208</v>
      </c>
      <c r="B75" s="15" t="s">
        <v>86</v>
      </c>
      <c r="C75" s="8" t="s">
        <v>29</v>
      </c>
      <c r="D75" s="8">
        <v>2</v>
      </c>
      <c r="E75" s="9">
        <f>D75*100/$D$85</f>
        <v>9.5510983763132759E-2</v>
      </c>
      <c r="F75" s="8">
        <v>2</v>
      </c>
      <c r="G75" s="9">
        <f>100*F75/$F$85</f>
        <v>1.4598540145985401</v>
      </c>
      <c r="H75" s="8">
        <v>0.01</v>
      </c>
      <c r="I75" s="9">
        <f>H75*100/$H$85</f>
        <v>0.18277529403223131</v>
      </c>
      <c r="J75" s="8">
        <v>0.03</v>
      </c>
      <c r="K75" s="9">
        <f>J75*100/$J$85</f>
        <v>0.36521186339713019</v>
      </c>
      <c r="L75" s="9">
        <f>J75*D75</f>
        <v>0.06</v>
      </c>
      <c r="M75" s="9">
        <f>100*L75/$L$85</f>
        <v>3.6085760987097475E-2</v>
      </c>
      <c r="N75" s="12">
        <f>G75*(E75+M75)</f>
        <v>0.19211203613172295</v>
      </c>
      <c r="O75" s="9">
        <f>(G75*(E75+M75))/2</f>
        <v>9.6056018065861476E-2</v>
      </c>
    </row>
    <row r="76" spans="1:15" x14ac:dyDescent="0.3">
      <c r="B76" s="10" t="s">
        <v>87</v>
      </c>
      <c r="E76" s="9"/>
      <c r="I76" s="9"/>
      <c r="K76" s="9"/>
      <c r="M76" s="9"/>
    </row>
    <row r="77" spans="1:15" x14ac:dyDescent="0.3">
      <c r="A77" t="s">
        <v>209</v>
      </c>
      <c r="B77" t="s">
        <v>88</v>
      </c>
      <c r="C77" s="8" t="s">
        <v>17</v>
      </c>
      <c r="D77" s="8">
        <v>1</v>
      </c>
      <c r="E77" s="9">
        <f>D77*100/$D$85</f>
        <v>4.775549188156638E-2</v>
      </c>
      <c r="F77" s="8">
        <v>1</v>
      </c>
      <c r="G77" s="9">
        <f>100*F77/$F$85</f>
        <v>0.72992700729927007</v>
      </c>
      <c r="H77" s="8">
        <v>0.01</v>
      </c>
      <c r="I77" s="9">
        <f>H77*100/$H$85</f>
        <v>0.18277529403223131</v>
      </c>
      <c r="J77" s="8">
        <v>0.02</v>
      </c>
      <c r="K77" s="9">
        <f>J77*100/$J$85</f>
        <v>0.2434745755980868</v>
      </c>
      <c r="L77" s="9">
        <f>J77*D77</f>
        <v>0.02</v>
      </c>
      <c r="M77" s="9">
        <f>100*L77/$L$85</f>
        <v>1.2028586995699159E-2</v>
      </c>
      <c r="N77" s="12">
        <f>G77*(E77+M77)</f>
        <v>4.3638013779025944E-2</v>
      </c>
      <c r="O77" s="9">
        <f>(G77*(E77+M77))/2</f>
        <v>2.1819006889512972E-2</v>
      </c>
    </row>
    <row r="78" spans="1:15" x14ac:dyDescent="0.3">
      <c r="B78" t="s">
        <v>89</v>
      </c>
      <c r="E78" s="9"/>
      <c r="I78" s="9"/>
      <c r="K78" s="9"/>
      <c r="M78" s="9"/>
    </row>
    <row r="79" spans="1:15" x14ac:dyDescent="0.3">
      <c r="B79" s="10" t="s">
        <v>90</v>
      </c>
      <c r="E79" s="9"/>
      <c r="I79" s="9"/>
      <c r="K79" s="9"/>
      <c r="M79" s="9"/>
    </row>
    <row r="80" spans="1:15" x14ac:dyDescent="0.3">
      <c r="B80" t="s">
        <v>91</v>
      </c>
      <c r="E80" s="9"/>
      <c r="I80" s="9"/>
      <c r="K80" s="9"/>
      <c r="M80" s="9"/>
    </row>
    <row r="81" spans="1:15" x14ac:dyDescent="0.3">
      <c r="B81" t="s">
        <v>92</v>
      </c>
      <c r="E81" s="9"/>
      <c r="I81" s="9"/>
      <c r="K81" s="9"/>
      <c r="M81" s="9"/>
    </row>
    <row r="82" spans="1:15" x14ac:dyDescent="0.3">
      <c r="A82" t="s">
        <v>210</v>
      </c>
      <c r="B82" s="15" t="s">
        <v>93</v>
      </c>
      <c r="C82" s="8" t="s">
        <v>29</v>
      </c>
      <c r="D82" s="8">
        <v>2</v>
      </c>
      <c r="E82" s="9">
        <f>D82*100/$D$85</f>
        <v>9.5510983763132759E-2</v>
      </c>
      <c r="F82" s="8">
        <v>2</v>
      </c>
      <c r="G82" s="9">
        <f>100*F82/$F$85</f>
        <v>1.4598540145985401</v>
      </c>
      <c r="H82" s="8">
        <v>0.12</v>
      </c>
      <c r="I82" s="9">
        <f>H82*100/$H$85</f>
        <v>2.1933035283867759</v>
      </c>
      <c r="J82" s="8">
        <v>0.2</v>
      </c>
      <c r="K82" s="9">
        <f>J82*100/$J$85</f>
        <v>2.4347457559808681</v>
      </c>
      <c r="L82" s="9">
        <f>J82*D82</f>
        <v>0.4</v>
      </c>
      <c r="M82" s="9">
        <f>100*L82/$L$85</f>
        <v>0.24057173991398317</v>
      </c>
      <c r="N82" s="12">
        <f>G82*(E82+M82)</f>
        <v>0.49063171339724954</v>
      </c>
      <c r="O82" s="9">
        <f>(G82*(E82+M82))/2</f>
        <v>0.24531585669862477</v>
      </c>
    </row>
    <row r="84" spans="1:15" x14ac:dyDescent="0.3">
      <c r="F84" s="8" t="s">
        <v>94</v>
      </c>
    </row>
    <row r="85" spans="1:15" s="1" customFormat="1" x14ac:dyDescent="0.3">
      <c r="B85" s="16" t="s">
        <v>95</v>
      </c>
      <c r="C85" s="2"/>
      <c r="D85" s="2">
        <f>SUM(D2:D82)</f>
        <v>2094</v>
      </c>
      <c r="E85" s="7">
        <f>SUM(E2:E82)</f>
        <v>100.00000000000001</v>
      </c>
      <c r="F85" s="2">
        <v>137</v>
      </c>
      <c r="G85" s="7">
        <f>SUM(G2:G82)</f>
        <v>227.00729927007288</v>
      </c>
      <c r="H85" s="7">
        <f>SUM(H2:H82)</f>
        <v>5.4711989675347263</v>
      </c>
      <c r="I85" s="7">
        <f>SUM(I2:I82)</f>
        <v>100.00000000000003</v>
      </c>
      <c r="J85" s="7">
        <f>SUM(J2:J82)</f>
        <v>8.21441004707399</v>
      </c>
      <c r="K85" s="7">
        <f t="shared" ref="K85:O85" si="8">SUM(K2:K82)</f>
        <v>100.00000000000003</v>
      </c>
      <c r="L85" s="7">
        <f>SUM(L2:L82)</f>
        <v>166.27056866405866</v>
      </c>
      <c r="M85" s="7">
        <f t="shared" si="8"/>
        <v>100.00000000000001</v>
      </c>
      <c r="N85" s="7">
        <f t="shared" si="8"/>
        <v>4707.0447090584485</v>
      </c>
      <c r="O85" s="7">
        <f t="shared" si="8"/>
        <v>2353.5223545292242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0251-499C-4FE8-BD3C-3A2EE1DD6B02}">
  <dimension ref="A1:P76"/>
  <sheetViews>
    <sheetView workbookViewId="0">
      <pane ySplit="1" topLeftCell="A2" activePane="bottomLeft" state="frozen"/>
      <selection pane="bottomLeft" activeCell="C21" sqref="C21"/>
    </sheetView>
  </sheetViews>
  <sheetFormatPr defaultColWidth="11.19921875" defaultRowHeight="15.6" x14ac:dyDescent="0.3"/>
  <cols>
    <col min="1" max="2" width="18" bestFit="1" customWidth="1"/>
    <col min="3" max="3" width="41.3984375" style="20" bestFit="1" customWidth="1"/>
    <col min="4" max="4" width="24.5" style="8" bestFit="1" customWidth="1"/>
    <col min="5" max="5" width="42.5" style="8" bestFit="1" customWidth="1"/>
    <col min="6" max="6" width="47.5" style="8" bestFit="1" customWidth="1"/>
    <col min="7" max="7" width="52.796875" style="8" bestFit="1" customWidth="1"/>
    <col min="8" max="8" width="21.69921875" style="8" bestFit="1" customWidth="1"/>
    <col min="9" max="9" width="23.796875" style="8" bestFit="1" customWidth="1"/>
    <col min="10" max="10" width="22" style="8" bestFit="1" customWidth="1"/>
    <col min="11" max="11" width="28.69921875" style="8" bestFit="1" customWidth="1"/>
    <col min="12" max="12" width="24.796875" style="8" customWidth="1"/>
    <col min="13" max="13" width="28.69921875" style="8" customWidth="1"/>
    <col min="14" max="14" width="35.5" style="8" bestFit="1" customWidth="1"/>
    <col min="15" max="15" width="27.19921875" style="9" bestFit="1" customWidth="1"/>
  </cols>
  <sheetData>
    <row r="1" spans="1:16" s="1" customFormat="1" x14ac:dyDescent="0.3">
      <c r="A1" s="1" t="s">
        <v>165</v>
      </c>
      <c r="B1" s="17" t="s">
        <v>101</v>
      </c>
      <c r="C1" s="17" t="s">
        <v>164</v>
      </c>
      <c r="D1" s="19" t="s">
        <v>29</v>
      </c>
      <c r="E1" s="5" t="s">
        <v>97</v>
      </c>
      <c r="F1" s="5" t="s">
        <v>4</v>
      </c>
      <c r="G1" s="6" t="s">
        <v>96</v>
      </c>
      <c r="H1" s="6" t="s">
        <v>3</v>
      </c>
      <c r="I1" s="4" t="s">
        <v>98</v>
      </c>
      <c r="J1" s="4" t="s">
        <v>5</v>
      </c>
      <c r="K1" s="3" t="s">
        <v>99</v>
      </c>
      <c r="L1" s="3" t="s">
        <v>100</v>
      </c>
      <c r="M1" s="3" t="s">
        <v>2</v>
      </c>
      <c r="N1" s="3" t="s">
        <v>6</v>
      </c>
      <c r="O1" s="2" t="s">
        <v>7</v>
      </c>
      <c r="P1" s="7" t="s">
        <v>8</v>
      </c>
    </row>
    <row r="2" spans="1:16" x14ac:dyDescent="0.3">
      <c r="A2" t="s">
        <v>166</v>
      </c>
      <c r="B2" t="s">
        <v>109</v>
      </c>
      <c r="C2" s="11" t="s">
        <v>123</v>
      </c>
      <c r="D2" s="20" t="s">
        <v>17</v>
      </c>
      <c r="E2" s="8">
        <v>1</v>
      </c>
      <c r="F2" s="9">
        <v>4.775549188156638E-2</v>
      </c>
      <c r="G2" s="8">
        <v>1</v>
      </c>
      <c r="H2" s="9">
        <v>0.72992700729927007</v>
      </c>
      <c r="I2" s="9">
        <v>0.01</v>
      </c>
      <c r="J2" s="9">
        <v>0.18277529403223131</v>
      </c>
      <c r="K2" s="9">
        <v>0.1</v>
      </c>
      <c r="L2" s="9">
        <v>1.217372877990434</v>
      </c>
      <c r="M2" s="9">
        <v>0.1</v>
      </c>
      <c r="N2" s="9">
        <v>6.0142934978495793E-2</v>
      </c>
      <c r="O2" s="12">
        <v>7.8757975810264363E-2</v>
      </c>
      <c r="P2" s="9">
        <v>3.9378987905132182E-2</v>
      </c>
    </row>
    <row r="3" spans="1:16" x14ac:dyDescent="0.3">
      <c r="A3" t="s">
        <v>167</v>
      </c>
      <c r="B3" t="s">
        <v>109</v>
      </c>
      <c r="C3" s="11" t="s">
        <v>124</v>
      </c>
      <c r="D3" s="20" t="s">
        <v>17</v>
      </c>
      <c r="E3" s="8">
        <v>1</v>
      </c>
      <c r="F3" s="9">
        <v>4.775549188156638E-2</v>
      </c>
      <c r="G3" s="8">
        <v>1</v>
      </c>
      <c r="H3" s="9">
        <v>0.72992700729927007</v>
      </c>
      <c r="I3" s="9">
        <v>0.01</v>
      </c>
      <c r="J3" s="9">
        <v>0.18277529403223131</v>
      </c>
      <c r="K3" s="9">
        <v>0.1</v>
      </c>
      <c r="L3" s="9">
        <v>1.217372877990434</v>
      </c>
      <c r="M3" s="9">
        <v>0.1</v>
      </c>
      <c r="N3" s="9">
        <v>6.0142934978495793E-2</v>
      </c>
      <c r="O3" s="12">
        <v>7.8757975810264363E-2</v>
      </c>
      <c r="P3" s="9">
        <v>3.9378987905132182E-2</v>
      </c>
    </row>
    <row r="4" spans="1:16" x14ac:dyDescent="0.3">
      <c r="A4" t="s">
        <v>168</v>
      </c>
      <c r="B4" t="s">
        <v>109</v>
      </c>
      <c r="C4" s="11" t="s">
        <v>125</v>
      </c>
      <c r="D4" s="20" t="s">
        <v>17</v>
      </c>
      <c r="E4" s="8">
        <v>5</v>
      </c>
      <c r="F4" s="9">
        <v>0.2387774594078319</v>
      </c>
      <c r="G4" s="8">
        <v>1</v>
      </c>
      <c r="H4" s="9">
        <v>0.72992700729927007</v>
      </c>
      <c r="I4" s="9">
        <v>0.01</v>
      </c>
      <c r="J4" s="9">
        <v>0.18277529403223131</v>
      </c>
      <c r="K4" s="8">
        <v>0.05</v>
      </c>
      <c r="L4" s="9">
        <v>0.60868643899521702</v>
      </c>
      <c r="M4" s="9">
        <v>0.25</v>
      </c>
      <c r="N4" s="9">
        <v>0.15035733744623947</v>
      </c>
      <c r="O4" s="12">
        <v>0.28403999770370175</v>
      </c>
      <c r="P4" s="9">
        <v>0.14201999885185088</v>
      </c>
    </row>
    <row r="5" spans="1:16" x14ac:dyDescent="0.3">
      <c r="A5" t="s">
        <v>169</v>
      </c>
      <c r="B5" t="s">
        <v>109</v>
      </c>
      <c r="C5" s="11" t="s">
        <v>126</v>
      </c>
      <c r="D5" s="20" t="s">
        <v>17</v>
      </c>
      <c r="E5" s="8">
        <v>1</v>
      </c>
      <c r="F5" s="9">
        <v>4.775549188156638E-2</v>
      </c>
      <c r="G5" s="8">
        <v>1</v>
      </c>
      <c r="H5" s="9">
        <v>0.72992700729927007</v>
      </c>
      <c r="I5" s="9">
        <v>0.01</v>
      </c>
      <c r="J5" s="9">
        <v>0.18277529403223131</v>
      </c>
      <c r="K5" s="8">
        <v>0.05</v>
      </c>
      <c r="L5" s="9">
        <v>0.60868643899521702</v>
      </c>
      <c r="M5" s="9">
        <v>0.05</v>
      </c>
      <c r="N5" s="9">
        <v>3.0071467489247897E-2</v>
      </c>
      <c r="O5" s="12">
        <v>5.6807999540740339E-2</v>
      </c>
      <c r="P5" s="9">
        <v>2.840399977037017E-2</v>
      </c>
    </row>
    <row r="6" spans="1:16" x14ac:dyDescent="0.3">
      <c r="A6" t="s">
        <v>170</v>
      </c>
      <c r="B6" t="s">
        <v>110</v>
      </c>
      <c r="C6" t="s">
        <v>127</v>
      </c>
      <c r="D6" s="20" t="s">
        <v>17</v>
      </c>
      <c r="E6" s="8">
        <v>225</v>
      </c>
      <c r="F6" s="9">
        <v>10.744985673352435</v>
      </c>
      <c r="G6" s="8">
        <v>12</v>
      </c>
      <c r="H6" s="9">
        <v>8.7591240875912408</v>
      </c>
      <c r="I6" s="14">
        <v>1.9896753472730335E-4</v>
      </c>
      <c r="J6" s="9">
        <v>3.6366349662651063E-3</v>
      </c>
      <c r="K6" s="8">
        <v>0.01</v>
      </c>
      <c r="L6" s="9">
        <v>0.1217372877990434</v>
      </c>
      <c r="M6" s="9">
        <v>2.25</v>
      </c>
      <c r="N6" s="9">
        <v>1.3532160370161554</v>
      </c>
      <c r="O6" s="12">
        <v>105.96965001782706</v>
      </c>
      <c r="P6" s="9">
        <v>52.984825008913532</v>
      </c>
    </row>
    <row r="7" spans="1:16" x14ac:dyDescent="0.3">
      <c r="A7" t="s">
        <v>171</v>
      </c>
      <c r="B7" t="s">
        <v>111</v>
      </c>
      <c r="C7" t="s">
        <v>102</v>
      </c>
      <c r="D7" s="20" t="s">
        <v>17</v>
      </c>
      <c r="E7" s="8">
        <v>5</v>
      </c>
      <c r="F7" s="9">
        <v>0.2387774594078319</v>
      </c>
      <c r="G7" s="8">
        <v>4</v>
      </c>
      <c r="H7" s="9">
        <v>2.9197080291970803</v>
      </c>
      <c r="I7" s="8">
        <v>0.6</v>
      </c>
      <c r="J7" s="9">
        <v>10.966517641933878</v>
      </c>
      <c r="K7" s="8">
        <v>1</v>
      </c>
      <c r="L7" s="9">
        <v>12.173728779904341</v>
      </c>
      <c r="M7" s="9">
        <v>5</v>
      </c>
      <c r="N7" s="9">
        <v>3.0071467489247898</v>
      </c>
      <c r="O7" s="12">
        <v>9.4771509732339325</v>
      </c>
      <c r="P7" s="9">
        <v>4.7385754866169663</v>
      </c>
    </row>
    <row r="8" spans="1:16" x14ac:dyDescent="0.3">
      <c r="A8" t="s">
        <v>172</v>
      </c>
      <c r="B8" t="s">
        <v>112</v>
      </c>
      <c r="C8" s="15" t="s">
        <v>128</v>
      </c>
      <c r="D8" s="20" t="s">
        <v>29</v>
      </c>
      <c r="E8" s="8">
        <v>64</v>
      </c>
      <c r="F8" s="9">
        <v>3.0563514804202483</v>
      </c>
      <c r="G8" s="8">
        <v>21</v>
      </c>
      <c r="H8" s="9">
        <v>15.328467153284672</v>
      </c>
      <c r="I8" s="8">
        <v>0.05</v>
      </c>
      <c r="J8" s="9">
        <v>0.91387647016115658</v>
      </c>
      <c r="K8" s="8">
        <v>0.12</v>
      </c>
      <c r="L8" s="9">
        <v>1.4608474535885208</v>
      </c>
      <c r="M8" s="9">
        <v>7.68</v>
      </c>
      <c r="N8" s="9">
        <v>4.6189774063484768</v>
      </c>
      <c r="O8" s="12">
        <v>117.6510267314914</v>
      </c>
      <c r="P8" s="9">
        <v>58.825513365745699</v>
      </c>
    </row>
    <row r="9" spans="1:16" x14ac:dyDescent="0.3">
      <c r="A9" t="s">
        <v>173</v>
      </c>
      <c r="B9" t="s">
        <v>113</v>
      </c>
      <c r="C9" s="15" t="s">
        <v>129</v>
      </c>
      <c r="D9" s="20" t="s">
        <v>29</v>
      </c>
      <c r="E9" s="8">
        <v>4</v>
      </c>
      <c r="F9" s="9">
        <v>0.19102196752626552</v>
      </c>
      <c r="G9" s="8">
        <v>1</v>
      </c>
      <c r="H9" s="9">
        <v>0.72992700729927007</v>
      </c>
      <c r="I9" s="8">
        <v>0.26</v>
      </c>
      <c r="J9" s="9">
        <v>4.7521576448380145</v>
      </c>
      <c r="K9" s="8">
        <v>0.3</v>
      </c>
      <c r="L9" s="9">
        <v>3.6521186339713023</v>
      </c>
      <c r="M9" s="9">
        <v>1.2</v>
      </c>
      <c r="N9" s="9">
        <v>0.72171521974194952</v>
      </c>
      <c r="O9" s="12">
        <v>0.66623152355344162</v>
      </c>
      <c r="P9" s="9">
        <v>0.33311576177672081</v>
      </c>
    </row>
    <row r="10" spans="1:16" x14ac:dyDescent="0.3">
      <c r="A10" t="s">
        <v>174</v>
      </c>
      <c r="B10" t="s">
        <v>113</v>
      </c>
      <c r="C10" s="15" t="s">
        <v>130</v>
      </c>
      <c r="D10" s="20" t="s">
        <v>29</v>
      </c>
      <c r="E10" s="8">
        <v>1</v>
      </c>
      <c r="F10" s="9">
        <v>4.775549188156638E-2</v>
      </c>
      <c r="G10" s="8">
        <v>1</v>
      </c>
      <c r="H10" s="9">
        <v>0.72992700729927007</v>
      </c>
      <c r="I10" s="8">
        <v>0.01</v>
      </c>
      <c r="J10" s="9">
        <v>0.18277529403223131</v>
      </c>
      <c r="K10" s="8">
        <v>0.12</v>
      </c>
      <c r="L10" s="9">
        <v>1.4608474535885208</v>
      </c>
      <c r="M10" s="9">
        <v>0.12</v>
      </c>
      <c r="N10" s="9">
        <v>7.2171521974194949E-2</v>
      </c>
      <c r="O10" s="12">
        <v>8.7537966318073951E-2</v>
      </c>
      <c r="P10" s="9">
        <v>4.3768983159036975E-2</v>
      </c>
    </row>
    <row r="11" spans="1:16" x14ac:dyDescent="0.3">
      <c r="A11" t="s">
        <v>175</v>
      </c>
      <c r="B11" t="s">
        <v>113</v>
      </c>
      <c r="C11" s="15" t="s">
        <v>131</v>
      </c>
      <c r="D11" s="20" t="s">
        <v>29</v>
      </c>
      <c r="E11" s="8">
        <v>1</v>
      </c>
      <c r="F11" s="9">
        <v>4.775549188156638E-2</v>
      </c>
      <c r="G11" s="8">
        <v>1</v>
      </c>
      <c r="H11" s="9">
        <v>0.72992700729927007</v>
      </c>
      <c r="I11" s="8">
        <v>0.01</v>
      </c>
      <c r="J11" s="9">
        <v>0.18277529403223131</v>
      </c>
      <c r="K11" s="8">
        <v>0.01</v>
      </c>
      <c r="L11" s="9">
        <v>0.1217372877990434</v>
      </c>
      <c r="M11" s="9">
        <v>0.01</v>
      </c>
      <c r="N11" s="9">
        <v>6.0142934978495797E-3</v>
      </c>
      <c r="O11" s="12">
        <v>3.9248018525121137E-2</v>
      </c>
      <c r="P11" s="9">
        <v>1.9624009262560568E-2</v>
      </c>
    </row>
    <row r="12" spans="1:16" x14ac:dyDescent="0.3">
      <c r="A12" t="s">
        <v>176</v>
      </c>
      <c r="B12" t="s">
        <v>113</v>
      </c>
      <c r="C12" s="15" t="s">
        <v>132</v>
      </c>
      <c r="D12" s="20" t="s">
        <v>29</v>
      </c>
      <c r="E12" s="8">
        <v>451</v>
      </c>
      <c r="F12" s="9">
        <v>21.537726838586437</v>
      </c>
      <c r="G12" s="8">
        <v>61</v>
      </c>
      <c r="H12" s="9">
        <v>44.525547445255476</v>
      </c>
      <c r="I12" s="8">
        <v>0.1</v>
      </c>
      <c r="J12" s="9">
        <v>1.8277529403223132</v>
      </c>
      <c r="K12" s="8">
        <v>0.2</v>
      </c>
      <c r="L12" s="9">
        <v>2.4347457559808681</v>
      </c>
      <c r="M12" s="9">
        <v>90.2</v>
      </c>
      <c r="N12" s="9">
        <v>54.248927350603203</v>
      </c>
      <c r="O12" s="12">
        <v>3374.4422668179332</v>
      </c>
      <c r="P12" s="9">
        <v>1687.2211334089666</v>
      </c>
    </row>
    <row r="13" spans="1:16" x14ac:dyDescent="0.3">
      <c r="A13" t="s">
        <v>177</v>
      </c>
      <c r="B13" t="s">
        <v>114</v>
      </c>
      <c r="C13" s="11" t="s">
        <v>133</v>
      </c>
      <c r="D13" s="20" t="s">
        <v>17</v>
      </c>
      <c r="E13" s="8">
        <v>1</v>
      </c>
      <c r="F13" s="9">
        <v>4.775549188156638E-2</v>
      </c>
      <c r="G13" s="8">
        <v>1</v>
      </c>
      <c r="H13" s="9">
        <v>0.72992700729927007</v>
      </c>
      <c r="I13" s="8">
        <v>0.01</v>
      </c>
      <c r="J13" s="9">
        <v>0.18277529403223131</v>
      </c>
      <c r="K13" s="8">
        <v>0.03</v>
      </c>
      <c r="L13" s="9">
        <v>0.36521186339713019</v>
      </c>
      <c r="M13" s="9">
        <v>0.03</v>
      </c>
      <c r="N13" s="9">
        <v>1.8042880493548737E-2</v>
      </c>
      <c r="O13" s="12">
        <v>4.8028009032930738E-2</v>
      </c>
      <c r="P13" s="9">
        <v>2.4014004516465369E-2</v>
      </c>
    </row>
    <row r="14" spans="1:16" x14ac:dyDescent="0.3">
      <c r="A14" t="s">
        <v>178</v>
      </c>
      <c r="B14" t="s">
        <v>114</v>
      </c>
      <c r="C14" s="11" t="s">
        <v>134</v>
      </c>
      <c r="D14" s="20" t="s">
        <v>17</v>
      </c>
      <c r="E14" s="8">
        <v>67</v>
      </c>
      <c r="F14" s="9">
        <v>3.1996179560649476</v>
      </c>
      <c r="G14" s="8">
        <v>26</v>
      </c>
      <c r="H14" s="9">
        <v>18.978102189781023</v>
      </c>
      <c r="I14" s="8">
        <v>0.05</v>
      </c>
      <c r="J14" s="9">
        <v>0.91387647016115658</v>
      </c>
      <c r="K14" s="8">
        <v>0.05</v>
      </c>
      <c r="L14" s="9">
        <v>0.60868643899521702</v>
      </c>
      <c r="M14" s="9">
        <v>3.35</v>
      </c>
      <c r="N14" s="9">
        <v>2.014788321779609</v>
      </c>
      <c r="O14" s="12">
        <v>98.959535199969693</v>
      </c>
      <c r="P14" s="9">
        <v>49.479767599984847</v>
      </c>
    </row>
    <row r="15" spans="1:16" x14ac:dyDescent="0.3">
      <c r="A15" t="s">
        <v>179</v>
      </c>
      <c r="B15" t="s">
        <v>114</v>
      </c>
      <c r="C15" s="11" t="s">
        <v>135</v>
      </c>
      <c r="D15" s="20" t="s">
        <v>17</v>
      </c>
      <c r="E15" s="8">
        <v>11</v>
      </c>
      <c r="F15" s="9">
        <v>0.52531041069723017</v>
      </c>
      <c r="G15" s="8">
        <v>3</v>
      </c>
      <c r="H15" s="9">
        <v>2.1897810218978102</v>
      </c>
      <c r="I15" s="8">
        <v>0.06</v>
      </c>
      <c r="J15" s="9">
        <v>1.0966517641933879</v>
      </c>
      <c r="K15" s="8">
        <v>7.0000000000000007E-2</v>
      </c>
      <c r="L15" s="9">
        <v>0.85216101459330396</v>
      </c>
      <c r="M15" s="9">
        <v>0.77</v>
      </c>
      <c r="N15" s="9">
        <v>0.46310059933441761</v>
      </c>
      <c r="O15" s="12">
        <v>2.1644036716021482</v>
      </c>
      <c r="P15" s="9">
        <v>1.0822018358010741</v>
      </c>
    </row>
    <row r="16" spans="1:16" x14ac:dyDescent="0.3">
      <c r="A16" t="s">
        <v>180</v>
      </c>
      <c r="B16" t="s">
        <v>114</v>
      </c>
      <c r="C16" s="11" t="s">
        <v>136</v>
      </c>
      <c r="D16" s="20" t="s">
        <v>17</v>
      </c>
      <c r="E16" s="8">
        <v>2</v>
      </c>
      <c r="F16" s="9">
        <v>9.5510983763132759E-2</v>
      </c>
      <c r="G16" s="8">
        <v>1</v>
      </c>
      <c r="H16" s="9">
        <v>0.72992700729927007</v>
      </c>
      <c r="I16" s="8">
        <v>0.01</v>
      </c>
      <c r="J16" s="9">
        <v>0.18277529403223131</v>
      </c>
      <c r="K16" s="8">
        <v>0.1</v>
      </c>
      <c r="L16" s="9">
        <v>1.217372877990434</v>
      </c>
      <c r="M16" s="9">
        <v>0.2</v>
      </c>
      <c r="N16" s="9">
        <v>0.12028586995699159</v>
      </c>
      <c r="O16" s="12">
        <v>0.15751595162052873</v>
      </c>
      <c r="P16" s="9">
        <v>7.8757975810264363E-2</v>
      </c>
    </row>
    <row r="17" spans="1:16" x14ac:dyDescent="0.3">
      <c r="A17" t="s">
        <v>181</v>
      </c>
      <c r="B17" t="s">
        <v>114</v>
      </c>
      <c r="C17" s="11" t="s">
        <v>137</v>
      </c>
      <c r="D17" s="20" t="s">
        <v>17</v>
      </c>
      <c r="E17" s="8">
        <v>88</v>
      </c>
      <c r="F17" s="9">
        <v>4.2024832855778413</v>
      </c>
      <c r="G17" s="8">
        <v>30</v>
      </c>
      <c r="H17" s="9">
        <v>21.897810218978101</v>
      </c>
      <c r="I17" s="8">
        <v>0.01</v>
      </c>
      <c r="J17" s="9">
        <v>0.18277529403223131</v>
      </c>
      <c r="K17" s="8">
        <v>0.01</v>
      </c>
      <c r="L17" s="9">
        <v>0.1217372877990434</v>
      </c>
      <c r="M17" s="9">
        <v>0.88</v>
      </c>
      <c r="N17" s="9">
        <v>0.52925782781076303</v>
      </c>
      <c r="O17" s="12">
        <v>103.61476890631981</v>
      </c>
      <c r="P17" s="9">
        <v>51.807384453159905</v>
      </c>
    </row>
    <row r="18" spans="1:16" x14ac:dyDescent="0.3">
      <c r="A18" t="s">
        <v>182</v>
      </c>
      <c r="B18" t="s">
        <v>114</v>
      </c>
      <c r="C18" s="11" t="s">
        <v>138</v>
      </c>
      <c r="D18" s="20" t="s">
        <v>17</v>
      </c>
      <c r="E18" s="8">
        <v>5</v>
      </c>
      <c r="F18" s="9">
        <v>0.2387774594078319</v>
      </c>
      <c r="G18" s="8">
        <v>5</v>
      </c>
      <c r="H18" s="9">
        <v>3.6496350364963503</v>
      </c>
      <c r="I18" s="8">
        <v>0.08</v>
      </c>
      <c r="J18" s="9">
        <v>1.4622023522578504</v>
      </c>
      <c r="K18" s="8">
        <v>0.1</v>
      </c>
      <c r="L18" s="9">
        <v>1.217372877990434</v>
      </c>
      <c r="M18" s="9">
        <v>0.5</v>
      </c>
      <c r="N18" s="9">
        <v>0.30071467489247894</v>
      </c>
      <c r="O18" s="12">
        <v>1.9689493952566088</v>
      </c>
      <c r="P18" s="9">
        <v>0.98447469762830442</v>
      </c>
    </row>
    <row r="19" spans="1:16" x14ac:dyDescent="0.3">
      <c r="A19" t="s">
        <v>183</v>
      </c>
      <c r="B19" t="s">
        <v>114</v>
      </c>
      <c r="C19" s="11" t="s">
        <v>139</v>
      </c>
      <c r="D19" s="20" t="s">
        <v>17</v>
      </c>
      <c r="E19" s="8">
        <v>1</v>
      </c>
      <c r="F19" s="9">
        <v>4.775549188156638E-2</v>
      </c>
      <c r="G19" s="8">
        <v>1</v>
      </c>
      <c r="H19" s="9">
        <v>0.72992700729927007</v>
      </c>
      <c r="I19" s="8">
        <v>0.03</v>
      </c>
      <c r="J19" s="9">
        <v>0.54832588209669397</v>
      </c>
      <c r="K19" s="8">
        <v>0.1</v>
      </c>
      <c r="L19" s="9">
        <v>1.217372877990434</v>
      </c>
      <c r="M19" s="9">
        <v>0.1</v>
      </c>
      <c r="N19" s="9">
        <v>6.0142934978495793E-2</v>
      </c>
      <c r="O19" s="12">
        <v>7.8757975810264363E-2</v>
      </c>
      <c r="P19" s="9">
        <v>3.9378987905132182E-2</v>
      </c>
    </row>
    <row r="20" spans="1:16" x14ac:dyDescent="0.3">
      <c r="A20" t="s">
        <v>184</v>
      </c>
      <c r="B20" t="s">
        <v>114</v>
      </c>
      <c r="C20" s="11" t="s">
        <v>140</v>
      </c>
      <c r="D20" s="20" t="s">
        <v>17</v>
      </c>
      <c r="E20" s="8">
        <v>32</v>
      </c>
      <c r="F20" s="9">
        <v>1.5281757402101241</v>
      </c>
      <c r="G20" s="8">
        <v>15</v>
      </c>
      <c r="H20" s="9">
        <v>10.948905109489051</v>
      </c>
      <c r="I20" s="8">
        <v>0.01</v>
      </c>
      <c r="J20" s="9">
        <v>0.18277529403223131</v>
      </c>
      <c r="K20" s="8">
        <v>0.01</v>
      </c>
      <c r="L20" s="9">
        <v>0.1217372877990434</v>
      </c>
      <c r="M20" s="9">
        <v>0.32</v>
      </c>
      <c r="N20" s="9">
        <v>0.19245739193118655</v>
      </c>
      <c r="O20" s="12">
        <v>18.839048892058145</v>
      </c>
      <c r="P20" s="9">
        <v>9.4195244460290724</v>
      </c>
    </row>
    <row r="21" spans="1:16" x14ac:dyDescent="0.3">
      <c r="A21" t="s">
        <v>185</v>
      </c>
      <c r="B21" t="s">
        <v>114</v>
      </c>
      <c r="C21" s="11" t="s">
        <v>141</v>
      </c>
      <c r="D21" s="20" t="s">
        <v>29</v>
      </c>
      <c r="E21" s="8">
        <v>132</v>
      </c>
      <c r="F21" s="9">
        <v>6.303724928366762</v>
      </c>
      <c r="G21" s="8">
        <v>28</v>
      </c>
      <c r="H21" s="9">
        <v>20.437956204379564</v>
      </c>
      <c r="I21" s="8">
        <v>0.02</v>
      </c>
      <c r="J21" s="9">
        <v>0.36555058806446261</v>
      </c>
      <c r="K21" s="8">
        <v>0.03</v>
      </c>
      <c r="L21" s="9">
        <v>0.36521186339713019</v>
      </c>
      <c r="M21" s="9">
        <v>3.96</v>
      </c>
      <c r="N21" s="9">
        <v>2.3816602251484333</v>
      </c>
      <c r="O21" s="12">
        <v>177.51152138571203</v>
      </c>
      <c r="P21" s="9">
        <v>88.755760692856015</v>
      </c>
    </row>
    <row r="22" spans="1:16" x14ac:dyDescent="0.3">
      <c r="A22" t="s">
        <v>186</v>
      </c>
      <c r="B22" t="s">
        <v>115</v>
      </c>
      <c r="C22" s="15" t="s">
        <v>142</v>
      </c>
      <c r="D22" s="20" t="s">
        <v>17</v>
      </c>
      <c r="E22" s="8">
        <v>5</v>
      </c>
      <c r="F22" s="9">
        <v>0.2387774594078319</v>
      </c>
      <c r="G22" s="8">
        <v>4</v>
      </c>
      <c r="H22" s="9">
        <v>2.9197080291970803</v>
      </c>
      <c r="I22" s="8">
        <v>0.04</v>
      </c>
      <c r="J22" s="9">
        <v>0.73110117612892522</v>
      </c>
      <c r="K22" s="8">
        <v>0.01</v>
      </c>
      <c r="L22" s="9">
        <v>0.1217372877990434</v>
      </c>
      <c r="M22" s="9">
        <v>0.05</v>
      </c>
      <c r="N22" s="9">
        <v>3.0071467489247897E-2</v>
      </c>
      <c r="O22" s="12">
        <v>0.78496037050242273</v>
      </c>
      <c r="P22" s="9">
        <v>0.39248018525121137</v>
      </c>
    </row>
    <row r="23" spans="1:16" x14ac:dyDescent="0.3">
      <c r="A23" t="s">
        <v>187</v>
      </c>
      <c r="B23" t="s">
        <v>115</v>
      </c>
      <c r="C23" s="15" t="s">
        <v>143</v>
      </c>
      <c r="D23" s="20" t="s">
        <v>17</v>
      </c>
      <c r="E23" s="8">
        <v>44</v>
      </c>
      <c r="F23" s="9">
        <v>2.1012416427889207</v>
      </c>
      <c r="G23" s="8">
        <v>16</v>
      </c>
      <c r="H23" s="9">
        <v>11.678832116788321</v>
      </c>
      <c r="I23" s="8">
        <v>0.09</v>
      </c>
      <c r="J23" s="9">
        <v>1.6449776462900818</v>
      </c>
      <c r="K23" s="8">
        <v>0.02</v>
      </c>
      <c r="L23" s="9">
        <v>0.2434745755980868</v>
      </c>
      <c r="M23" s="9">
        <v>0.88</v>
      </c>
      <c r="N23" s="9">
        <v>0.52925782781076303</v>
      </c>
      <c r="O23" s="12">
        <v>30.721161700434262</v>
      </c>
      <c r="P23" s="9">
        <v>15.360580850217131</v>
      </c>
    </row>
    <row r="24" spans="1:16" x14ac:dyDescent="0.3">
      <c r="A24" t="s">
        <v>188</v>
      </c>
      <c r="B24" t="s">
        <v>116</v>
      </c>
      <c r="C24" s="15" t="s">
        <v>144</v>
      </c>
      <c r="D24" s="20" t="s">
        <v>17</v>
      </c>
      <c r="E24" s="8">
        <v>69</v>
      </c>
      <c r="F24" s="9">
        <v>3.2951289398280803</v>
      </c>
      <c r="G24" s="8">
        <v>10</v>
      </c>
      <c r="H24" s="9">
        <v>7.2992700729927007</v>
      </c>
      <c r="I24" s="8">
        <v>0.08</v>
      </c>
      <c r="J24" s="9">
        <v>1.4622023522578504</v>
      </c>
      <c r="K24" s="8">
        <v>0.1</v>
      </c>
      <c r="L24" s="9">
        <v>1.217372877990434</v>
      </c>
      <c r="M24" s="9">
        <v>6.9</v>
      </c>
      <c r="N24" s="9">
        <v>4.1498625135162097</v>
      </c>
      <c r="O24" s="12">
        <v>54.343003309082405</v>
      </c>
      <c r="P24" s="9">
        <v>27.171501654541203</v>
      </c>
    </row>
    <row r="25" spans="1:16" x14ac:dyDescent="0.3">
      <c r="A25" t="s">
        <v>189</v>
      </c>
      <c r="B25" t="s">
        <v>116</v>
      </c>
      <c r="C25" s="15" t="s">
        <v>145</v>
      </c>
      <c r="D25" s="20" t="s">
        <v>17</v>
      </c>
      <c r="E25" s="8">
        <v>2</v>
      </c>
      <c r="F25" s="9">
        <v>9.5510983763132759E-2</v>
      </c>
      <c r="G25" s="8">
        <v>2</v>
      </c>
      <c r="H25" s="9">
        <v>1.4598540145985401</v>
      </c>
      <c r="I25" s="8">
        <v>0.01</v>
      </c>
      <c r="J25" s="9">
        <v>0.18277529403223131</v>
      </c>
      <c r="K25" s="8">
        <v>0.05</v>
      </c>
      <c r="L25" s="9">
        <v>0.60868643899521702</v>
      </c>
      <c r="M25" s="9">
        <v>0.1</v>
      </c>
      <c r="N25" s="9">
        <v>6.0142934978495793E-2</v>
      </c>
      <c r="O25" s="12">
        <v>0.22723199816296136</v>
      </c>
      <c r="P25" s="9">
        <v>0.11361599908148068</v>
      </c>
    </row>
    <row r="26" spans="1:16" x14ac:dyDescent="0.3">
      <c r="A26" t="s">
        <v>190</v>
      </c>
      <c r="B26" t="s">
        <v>116</v>
      </c>
      <c r="C26" s="15" t="s">
        <v>146</v>
      </c>
      <c r="D26" s="20" t="s">
        <v>17</v>
      </c>
      <c r="E26" s="8">
        <v>2</v>
      </c>
      <c r="F26" s="9">
        <v>9.5510983763132759E-2</v>
      </c>
      <c r="G26" s="8">
        <v>1</v>
      </c>
      <c r="H26" s="9">
        <v>0.72992700729927007</v>
      </c>
      <c r="I26" s="8">
        <v>0.01</v>
      </c>
      <c r="J26" s="9">
        <v>0.18277529403223131</v>
      </c>
      <c r="K26" s="8">
        <v>0.05</v>
      </c>
      <c r="L26" s="9">
        <v>0.60868643899521702</v>
      </c>
      <c r="M26" s="9">
        <v>0.1</v>
      </c>
      <c r="N26" s="9">
        <v>6.0142934978495793E-2</v>
      </c>
      <c r="O26" s="12">
        <v>0.11361599908148068</v>
      </c>
      <c r="P26" s="9">
        <v>5.6807999540740339E-2</v>
      </c>
    </row>
    <row r="27" spans="1:16" x14ac:dyDescent="0.3">
      <c r="A27" t="s">
        <v>191</v>
      </c>
      <c r="B27" t="s">
        <v>117</v>
      </c>
      <c r="C27" s="15" t="s">
        <v>147</v>
      </c>
      <c r="D27" s="20" t="s">
        <v>17</v>
      </c>
      <c r="E27" s="8">
        <v>1</v>
      </c>
      <c r="F27" s="9">
        <v>4.775549188156638E-2</v>
      </c>
      <c r="G27" s="8">
        <v>1</v>
      </c>
      <c r="H27" s="9">
        <v>0.72992700729927007</v>
      </c>
      <c r="I27" s="8">
        <v>0.01</v>
      </c>
      <c r="J27" s="9">
        <v>0.18277529403223131</v>
      </c>
      <c r="K27" s="9">
        <v>6.7732737611378852E-3</v>
      </c>
      <c r="L27" s="9">
        <v>8.2455997720135191E-2</v>
      </c>
      <c r="M27" s="9">
        <v>6.7732737611378852E-3</v>
      </c>
      <c r="N27" s="9">
        <v>4.0736456340766747E-3</v>
      </c>
      <c r="O27" s="12">
        <v>3.7831487237695659E-2</v>
      </c>
      <c r="P27" s="9">
        <v>1.8915743618847829E-2</v>
      </c>
    </row>
    <row r="28" spans="1:16" x14ac:dyDescent="0.3">
      <c r="A28" t="s">
        <v>192</v>
      </c>
      <c r="B28" t="s">
        <v>117</v>
      </c>
      <c r="C28" s="15" t="s">
        <v>148</v>
      </c>
      <c r="D28" s="20" t="s">
        <v>17</v>
      </c>
      <c r="E28" s="8">
        <v>5</v>
      </c>
      <c r="F28" s="9">
        <v>0.2387774594078319</v>
      </c>
      <c r="G28" s="8">
        <v>3</v>
      </c>
      <c r="H28" s="9">
        <v>2.1897810218978102</v>
      </c>
      <c r="I28" s="8">
        <v>0.1</v>
      </c>
      <c r="J28" s="9">
        <v>1.8277529403223132</v>
      </c>
      <c r="K28" s="9">
        <v>0.25048965424616293</v>
      </c>
      <c r="L28" s="9">
        <v>3.0493931129648009</v>
      </c>
      <c r="M28" s="9">
        <v>1.2524482712308147</v>
      </c>
      <c r="N28" s="9">
        <v>0.75325914940564354</v>
      </c>
      <c r="O28" s="12">
        <v>2.1723429390076103</v>
      </c>
      <c r="P28" s="9">
        <v>1.0861714695038052</v>
      </c>
    </row>
    <row r="29" spans="1:16" x14ac:dyDescent="0.3">
      <c r="A29" t="s">
        <v>193</v>
      </c>
      <c r="B29" t="s">
        <v>117</v>
      </c>
      <c r="C29" s="15" t="s">
        <v>149</v>
      </c>
      <c r="D29" s="20" t="s">
        <v>17</v>
      </c>
      <c r="E29" s="8">
        <v>1</v>
      </c>
      <c r="F29" s="9">
        <v>4.775549188156638E-2</v>
      </c>
      <c r="G29" s="8">
        <v>1</v>
      </c>
      <c r="H29" s="9">
        <v>0.72992700729927007</v>
      </c>
      <c r="I29" s="8">
        <v>0.01</v>
      </c>
      <c r="J29" s="9">
        <v>0.18277529403223131</v>
      </c>
      <c r="K29" s="9">
        <v>5.6847119066692951E-2</v>
      </c>
      <c r="L29" s="9">
        <v>0.69204140943684878</v>
      </c>
      <c r="M29" s="9">
        <v>5.6847119066692951E-2</v>
      </c>
      <c r="N29" s="9">
        <v>3.418952585742923E-2</v>
      </c>
      <c r="O29" s="12">
        <v>5.9813881561310664E-2</v>
      </c>
      <c r="P29" s="9">
        <v>2.9906940780655332E-2</v>
      </c>
    </row>
    <row r="30" spans="1:16" x14ac:dyDescent="0.3">
      <c r="A30" t="s">
        <v>194</v>
      </c>
      <c r="B30" t="s">
        <v>118</v>
      </c>
      <c r="C30" s="15" t="s">
        <v>150</v>
      </c>
      <c r="D30" s="20" t="s">
        <v>29</v>
      </c>
      <c r="E30" s="8">
        <v>4</v>
      </c>
      <c r="F30" s="9">
        <v>0.19102196752626552</v>
      </c>
      <c r="G30" s="8">
        <v>4</v>
      </c>
      <c r="H30" s="9">
        <v>2.9197080291970803</v>
      </c>
      <c r="I30" s="8">
        <v>0.2</v>
      </c>
      <c r="J30" s="9">
        <v>3.6555058806446263</v>
      </c>
      <c r="K30" s="8">
        <v>0.25</v>
      </c>
      <c r="L30" s="9">
        <v>3.0434321949760852</v>
      </c>
      <c r="M30" s="9">
        <v>1</v>
      </c>
      <c r="N30" s="9">
        <v>0.60142934978495788</v>
      </c>
      <c r="O30" s="12">
        <v>2.3137264739013821</v>
      </c>
      <c r="P30" s="9">
        <v>1.156863236950691</v>
      </c>
    </row>
    <row r="31" spans="1:16" x14ac:dyDescent="0.3">
      <c r="A31" t="s">
        <v>195</v>
      </c>
      <c r="B31" t="s">
        <v>118</v>
      </c>
      <c r="C31" s="15" t="s">
        <v>151</v>
      </c>
      <c r="D31" s="20" t="s">
        <v>29</v>
      </c>
      <c r="E31" s="8">
        <v>1</v>
      </c>
      <c r="F31" s="9">
        <v>4.775549188156638E-2</v>
      </c>
      <c r="G31" s="8">
        <v>1</v>
      </c>
      <c r="H31" s="9">
        <v>0.72992700729927007</v>
      </c>
      <c r="I31" s="8">
        <v>0.01</v>
      </c>
      <c r="J31" s="9">
        <v>0.18277529403223131</v>
      </c>
      <c r="K31" s="8">
        <v>0.02</v>
      </c>
      <c r="L31" s="9">
        <v>0.2434745755980868</v>
      </c>
      <c r="M31" s="9">
        <v>0.02</v>
      </c>
      <c r="N31" s="9">
        <v>1.2028586995699159E-2</v>
      </c>
      <c r="O31" s="12">
        <v>4.3638013779025944E-2</v>
      </c>
      <c r="P31" s="9">
        <v>2.1819006889512972E-2</v>
      </c>
    </row>
    <row r="32" spans="1:16" x14ac:dyDescent="0.3">
      <c r="A32" t="s">
        <v>196</v>
      </c>
      <c r="B32" t="s">
        <v>118</v>
      </c>
      <c r="C32" s="15" t="s">
        <v>152</v>
      </c>
      <c r="D32" s="20" t="s">
        <v>29</v>
      </c>
      <c r="E32" s="8">
        <v>1</v>
      </c>
      <c r="F32" s="9">
        <v>4.775549188156638E-2</v>
      </c>
      <c r="G32" s="8">
        <v>1</v>
      </c>
      <c r="H32" s="9">
        <v>0.72992700729927007</v>
      </c>
      <c r="I32" s="8">
        <v>0.01</v>
      </c>
      <c r="J32" s="9">
        <v>0.18277529403223131</v>
      </c>
      <c r="K32" s="8">
        <v>0.01</v>
      </c>
      <c r="L32" s="9">
        <v>0.1217372877990434</v>
      </c>
      <c r="M32" s="9">
        <v>0.01</v>
      </c>
      <c r="N32" s="9">
        <v>6.0142934978495797E-3</v>
      </c>
      <c r="O32" s="12">
        <v>3.9248018525121137E-2</v>
      </c>
      <c r="P32" s="9">
        <v>1.9624009262560568E-2</v>
      </c>
    </row>
    <row r="33" spans="1:16" x14ac:dyDescent="0.3">
      <c r="A33" t="s">
        <v>197</v>
      </c>
      <c r="B33" t="s">
        <v>118</v>
      </c>
      <c r="C33" s="15" t="s">
        <v>153</v>
      </c>
      <c r="D33" s="20" t="s">
        <v>29</v>
      </c>
      <c r="E33" s="8">
        <v>1</v>
      </c>
      <c r="F33" s="9">
        <v>4.775549188156638E-2</v>
      </c>
      <c r="G33" s="8">
        <v>1</v>
      </c>
      <c r="H33" s="9">
        <v>0.72992700729927007</v>
      </c>
      <c r="I33" s="8">
        <v>0.02</v>
      </c>
      <c r="J33" s="9">
        <v>0.36555058806446261</v>
      </c>
      <c r="K33" s="8">
        <v>0.02</v>
      </c>
      <c r="L33" s="9">
        <v>0.2434745755980868</v>
      </c>
      <c r="M33" s="9">
        <v>0.02</v>
      </c>
      <c r="N33" s="9">
        <v>1.2028586995699159E-2</v>
      </c>
      <c r="O33" s="12">
        <v>4.3638013779025944E-2</v>
      </c>
      <c r="P33" s="9">
        <v>2.1819006889512972E-2</v>
      </c>
    </row>
    <row r="34" spans="1:16" x14ac:dyDescent="0.3">
      <c r="A34" t="s">
        <v>198</v>
      </c>
      <c r="B34" t="s">
        <v>118</v>
      </c>
      <c r="C34" s="15" t="s">
        <v>154</v>
      </c>
      <c r="D34" s="20" t="s">
        <v>29</v>
      </c>
      <c r="E34" s="8">
        <v>815</v>
      </c>
      <c r="F34" s="9">
        <v>38.920725883476599</v>
      </c>
      <c r="G34" s="8">
        <v>17</v>
      </c>
      <c r="H34" s="9">
        <v>12.408759124087592</v>
      </c>
      <c r="I34" s="8">
        <v>1E-3</v>
      </c>
      <c r="J34" s="9">
        <v>1.8277529403223133E-2</v>
      </c>
      <c r="K34" s="8">
        <v>2.9999999999999997E-4</v>
      </c>
      <c r="L34" s="9">
        <v>3.6521186339713019E-3</v>
      </c>
      <c r="M34" s="9">
        <v>0.24449999999999997</v>
      </c>
      <c r="N34" s="9">
        <v>0.14704947602242219</v>
      </c>
      <c r="O34" s="12">
        <v>484.78261394998788</v>
      </c>
      <c r="P34" s="9">
        <v>242.39130697499394</v>
      </c>
    </row>
    <row r="35" spans="1:16" x14ac:dyDescent="0.3">
      <c r="A35" t="s">
        <v>199</v>
      </c>
      <c r="B35" t="s">
        <v>119</v>
      </c>
      <c r="C35" s="15" t="s">
        <v>155</v>
      </c>
      <c r="D35" s="20" t="s">
        <v>17</v>
      </c>
      <c r="E35" s="8">
        <v>2</v>
      </c>
      <c r="F35" s="9">
        <v>9.5510983763132759E-2</v>
      </c>
      <c r="G35" s="8">
        <v>1</v>
      </c>
      <c r="H35" s="9">
        <v>0.72992700729927007</v>
      </c>
      <c r="I35" s="8">
        <v>0.08</v>
      </c>
      <c r="J35" s="9">
        <v>1.4622023522578504</v>
      </c>
      <c r="K35" s="8">
        <v>0.1</v>
      </c>
      <c r="L35" s="9">
        <v>1.217372877990434</v>
      </c>
      <c r="M35" s="9">
        <v>0.2</v>
      </c>
      <c r="N35" s="9">
        <v>0.12028586995699159</v>
      </c>
      <c r="O35" s="12">
        <v>0.15751595162052873</v>
      </c>
      <c r="P35" s="9">
        <v>7.8757975810264363E-2</v>
      </c>
    </row>
    <row r="36" spans="1:16" x14ac:dyDescent="0.3">
      <c r="A36" t="s">
        <v>200</v>
      </c>
      <c r="B36" t="s">
        <v>119</v>
      </c>
      <c r="C36" s="15" t="s">
        <v>156</v>
      </c>
      <c r="D36" s="20" t="s">
        <v>17</v>
      </c>
      <c r="E36" s="8">
        <v>3</v>
      </c>
      <c r="F36" s="9">
        <v>0.14326647564469913</v>
      </c>
      <c r="G36" s="8">
        <v>3</v>
      </c>
      <c r="H36" s="9">
        <v>2.1897810218978102</v>
      </c>
      <c r="I36" s="8">
        <v>0.65</v>
      </c>
      <c r="J36" s="9">
        <v>11.880394112095036</v>
      </c>
      <c r="K36" s="8">
        <v>0.6</v>
      </c>
      <c r="L36" s="9">
        <v>7.3042372679426046</v>
      </c>
      <c r="M36" s="9">
        <v>1.7999999999999998</v>
      </c>
      <c r="N36" s="9">
        <v>1.082572829612924</v>
      </c>
      <c r="O36" s="12">
        <v>2.6843196465495396</v>
      </c>
      <c r="P36" s="9">
        <v>1.3421598232747698</v>
      </c>
    </row>
    <row r="37" spans="1:16" x14ac:dyDescent="0.3">
      <c r="A37" t="s">
        <v>201</v>
      </c>
      <c r="B37" t="s">
        <v>120</v>
      </c>
      <c r="C37" s="15" t="s">
        <v>157</v>
      </c>
      <c r="D37" s="20" t="s">
        <v>17</v>
      </c>
      <c r="E37" s="8">
        <v>8</v>
      </c>
      <c r="F37" s="9">
        <v>0.38204393505253104</v>
      </c>
      <c r="G37" s="8">
        <v>7</v>
      </c>
      <c r="H37" s="9">
        <v>5.1094890510948909</v>
      </c>
      <c r="I37" s="8">
        <v>0.37</v>
      </c>
      <c r="J37" s="9">
        <v>6.762685879192559</v>
      </c>
      <c r="K37" s="8">
        <v>0.3</v>
      </c>
      <c r="L37" s="9">
        <v>3.6521186339713023</v>
      </c>
      <c r="M37" s="9">
        <v>2.4</v>
      </c>
      <c r="N37" s="9">
        <v>1.443430439483899</v>
      </c>
      <c r="O37" s="12">
        <v>9.3272413297481833</v>
      </c>
      <c r="P37" s="9">
        <v>4.6636206648740917</v>
      </c>
    </row>
    <row r="38" spans="1:16" x14ac:dyDescent="0.3">
      <c r="A38" t="s">
        <v>202</v>
      </c>
      <c r="B38" s="18" t="s">
        <v>104</v>
      </c>
      <c r="C38" s="15" t="s">
        <v>158</v>
      </c>
      <c r="D38" s="20" t="s">
        <v>17</v>
      </c>
      <c r="E38" s="8">
        <v>4</v>
      </c>
      <c r="F38" s="9">
        <v>0.19102196752626552</v>
      </c>
      <c r="G38" s="8">
        <v>3</v>
      </c>
      <c r="H38" s="9">
        <v>2.1897810218978102</v>
      </c>
      <c r="I38" s="8">
        <v>0.01</v>
      </c>
      <c r="J38" s="9">
        <v>0.18277529403223131</v>
      </c>
      <c r="K38" s="8">
        <v>0.01</v>
      </c>
      <c r="L38" s="9">
        <v>0.1217372877990434</v>
      </c>
      <c r="M38" s="9">
        <v>0.04</v>
      </c>
      <c r="N38" s="9">
        <v>2.4057173991398319E-2</v>
      </c>
      <c r="O38" s="12">
        <v>0.47097622230145364</v>
      </c>
      <c r="P38" s="9">
        <v>0.23548811115072682</v>
      </c>
    </row>
    <row r="39" spans="1:16" x14ac:dyDescent="0.3">
      <c r="A39" t="s">
        <v>203</v>
      </c>
      <c r="B39" t="s">
        <v>121</v>
      </c>
      <c r="C39" s="15" t="s">
        <v>159</v>
      </c>
      <c r="D39" s="20" t="s">
        <v>29</v>
      </c>
      <c r="E39" s="8">
        <v>11</v>
      </c>
      <c r="F39" s="9">
        <v>0.52531041069723017</v>
      </c>
      <c r="G39" s="8">
        <v>7</v>
      </c>
      <c r="H39" s="9">
        <v>5.1094890510948909</v>
      </c>
      <c r="I39" s="8">
        <v>1.52</v>
      </c>
      <c r="J39" s="9">
        <v>27.78184469289916</v>
      </c>
      <c r="K39" s="8">
        <v>3</v>
      </c>
      <c r="L39" s="9">
        <v>36.521186339713019</v>
      </c>
      <c r="M39" s="9">
        <v>33</v>
      </c>
      <c r="N39" s="9">
        <v>19.84716854290361</v>
      </c>
      <c r="O39" s="12">
        <v>104.0929581570846</v>
      </c>
      <c r="P39" s="9">
        <v>52.046479078542298</v>
      </c>
    </row>
    <row r="40" spans="1:16" x14ac:dyDescent="0.3">
      <c r="A40" t="s">
        <v>204</v>
      </c>
      <c r="B40" t="s">
        <v>122</v>
      </c>
      <c r="C40" s="15" t="s">
        <v>103</v>
      </c>
      <c r="D40" s="20" t="s">
        <v>29</v>
      </c>
      <c r="E40" s="8">
        <v>8</v>
      </c>
      <c r="F40" s="9">
        <v>0.38204393505253104</v>
      </c>
      <c r="G40" s="8">
        <v>4</v>
      </c>
      <c r="H40" s="9">
        <v>2.9197080291970803</v>
      </c>
      <c r="I40" s="8">
        <v>0.01</v>
      </c>
      <c r="J40" s="9">
        <v>0.18277529403223131</v>
      </c>
      <c r="K40" s="8">
        <v>0.01</v>
      </c>
      <c r="L40" s="9">
        <v>0.1217372877990434</v>
      </c>
      <c r="M40" s="9">
        <v>0.08</v>
      </c>
      <c r="N40" s="9">
        <v>4.8114347982796637E-2</v>
      </c>
      <c r="O40" s="12">
        <v>1.2559365928038764</v>
      </c>
      <c r="P40" s="9">
        <v>0.62796829640193819</v>
      </c>
    </row>
    <row r="41" spans="1:16" x14ac:dyDescent="0.3">
      <c r="A41" t="s">
        <v>205</v>
      </c>
      <c r="B41" t="s">
        <v>122</v>
      </c>
      <c r="C41" s="15" t="s">
        <v>160</v>
      </c>
      <c r="D41" s="20" t="s">
        <v>29</v>
      </c>
      <c r="E41" s="8">
        <v>1</v>
      </c>
      <c r="F41" s="9">
        <v>4.775549188156638E-2</v>
      </c>
      <c r="G41" s="8">
        <v>1</v>
      </c>
      <c r="H41" s="9">
        <v>0.72992700729927007</v>
      </c>
      <c r="I41" s="8">
        <v>0.64</v>
      </c>
      <c r="J41" s="9">
        <v>11.697618818062804</v>
      </c>
      <c r="K41" s="8">
        <v>0.5</v>
      </c>
      <c r="L41" s="9">
        <v>6.0868643899521704</v>
      </c>
      <c r="M41" s="9">
        <v>0.5</v>
      </c>
      <c r="N41" s="9">
        <v>0.30071467489247894</v>
      </c>
      <c r="O41" s="12">
        <v>0.25435778596645642</v>
      </c>
      <c r="P41" s="9">
        <v>0.12717889298322821</v>
      </c>
    </row>
    <row r="42" spans="1:16" x14ac:dyDescent="0.3">
      <c r="A42" t="s">
        <v>206</v>
      </c>
      <c r="B42" t="s">
        <v>105</v>
      </c>
      <c r="C42" t="s">
        <v>161</v>
      </c>
      <c r="D42" s="20" t="s">
        <v>29</v>
      </c>
      <c r="E42" s="8">
        <v>1</v>
      </c>
      <c r="F42" s="9">
        <v>4.775549188156638E-2</v>
      </c>
      <c r="G42" s="8">
        <v>1</v>
      </c>
      <c r="H42" s="9">
        <v>0.72992700729927007</v>
      </c>
      <c r="I42" s="8">
        <v>0.01</v>
      </c>
      <c r="J42" s="9">
        <v>0.18277529403223131</v>
      </c>
      <c r="K42" s="8">
        <v>0.02</v>
      </c>
      <c r="L42" s="9">
        <v>0.2434745755980868</v>
      </c>
      <c r="M42" s="9">
        <v>0.02</v>
      </c>
      <c r="N42" s="9">
        <v>1.2028586995699159E-2</v>
      </c>
      <c r="O42" s="12">
        <v>4.3638013779025944E-2</v>
      </c>
      <c r="P42" s="9">
        <v>2.1819006889512972E-2</v>
      </c>
    </row>
    <row r="43" spans="1:16" x14ac:dyDescent="0.3">
      <c r="A43" t="s">
        <v>207</v>
      </c>
      <c r="B43" t="s">
        <v>107</v>
      </c>
      <c r="C43" s="15" t="s">
        <v>162</v>
      </c>
      <c r="D43" s="20" t="s">
        <v>17</v>
      </c>
      <c r="E43" s="8">
        <v>2</v>
      </c>
      <c r="F43" s="9">
        <v>9.5510983763132759E-2</v>
      </c>
      <c r="G43" s="8">
        <v>2</v>
      </c>
      <c r="H43" s="9">
        <v>1.4598540145985401</v>
      </c>
      <c r="I43" s="8">
        <v>0.1</v>
      </c>
      <c r="J43" s="9">
        <v>1.8277529403223132</v>
      </c>
      <c r="K43" s="8">
        <v>0.02</v>
      </c>
      <c r="L43" s="9">
        <v>0.2434745755980868</v>
      </c>
      <c r="M43" s="9">
        <v>0.04</v>
      </c>
      <c r="N43" s="9">
        <v>2.4057173991398319E-2</v>
      </c>
      <c r="O43" s="12">
        <v>0.17455205511610378</v>
      </c>
      <c r="P43" s="9">
        <v>8.7276027558051888E-2</v>
      </c>
    </row>
    <row r="44" spans="1:16" x14ac:dyDescent="0.3">
      <c r="A44" t="s">
        <v>208</v>
      </c>
      <c r="B44" t="s">
        <v>106</v>
      </c>
      <c r="C44" s="15" t="s">
        <v>163</v>
      </c>
      <c r="D44" s="20" t="s">
        <v>29</v>
      </c>
      <c r="E44" s="8">
        <v>2</v>
      </c>
      <c r="F44" s="9">
        <v>9.5510983763132759E-2</v>
      </c>
      <c r="G44" s="8">
        <v>2</v>
      </c>
      <c r="H44" s="9">
        <v>1.4598540145985401</v>
      </c>
      <c r="I44" s="8">
        <v>0.01</v>
      </c>
      <c r="J44" s="9">
        <v>0.18277529403223131</v>
      </c>
      <c r="K44" s="8">
        <v>0.03</v>
      </c>
      <c r="L44" s="9">
        <v>0.36521186339713019</v>
      </c>
      <c r="M44" s="9">
        <v>0.06</v>
      </c>
      <c r="N44" s="9">
        <v>3.6085760987097475E-2</v>
      </c>
      <c r="O44" s="12">
        <v>0.19211203613172295</v>
      </c>
      <c r="P44" s="9">
        <v>9.6056018065861476E-2</v>
      </c>
    </row>
    <row r="45" spans="1:16" x14ac:dyDescent="0.3">
      <c r="A45" t="s">
        <v>209</v>
      </c>
      <c r="B45" t="s">
        <v>88</v>
      </c>
      <c r="C45" s="15" t="s">
        <v>108</v>
      </c>
      <c r="D45" s="20" t="s">
        <v>17</v>
      </c>
      <c r="E45" s="8">
        <v>1</v>
      </c>
      <c r="F45" s="9">
        <v>4.775549188156638E-2</v>
      </c>
      <c r="G45" s="8">
        <v>1</v>
      </c>
      <c r="H45" s="9">
        <v>0.72992700729927007</v>
      </c>
      <c r="I45" s="8">
        <v>0.01</v>
      </c>
      <c r="J45" s="9">
        <v>0.18277529403223131</v>
      </c>
      <c r="K45" s="8">
        <v>0.02</v>
      </c>
      <c r="L45" s="9">
        <v>0.2434745755980868</v>
      </c>
      <c r="M45" s="9">
        <v>0.02</v>
      </c>
      <c r="N45" s="9">
        <v>1.2028586995699159E-2</v>
      </c>
      <c r="O45" s="12">
        <v>4.3638013779025944E-2</v>
      </c>
      <c r="P45" s="9">
        <v>2.1819006889512972E-2</v>
      </c>
    </row>
    <row r="46" spans="1:16" x14ac:dyDescent="0.3">
      <c r="A46" t="s">
        <v>210</v>
      </c>
      <c r="B46" t="s">
        <v>92</v>
      </c>
      <c r="C46" s="15" t="s">
        <v>93</v>
      </c>
      <c r="D46" s="20" t="s">
        <v>29</v>
      </c>
      <c r="E46" s="8">
        <v>2</v>
      </c>
      <c r="F46" s="9">
        <v>9.5510983763132759E-2</v>
      </c>
      <c r="G46" s="8">
        <v>2</v>
      </c>
      <c r="H46" s="9">
        <v>1.4598540145985401</v>
      </c>
      <c r="I46" s="8">
        <v>0.12</v>
      </c>
      <c r="J46" s="9">
        <v>2.1933035283867759</v>
      </c>
      <c r="K46" s="8">
        <v>0.2</v>
      </c>
      <c r="L46" s="9">
        <v>2.4347457559808681</v>
      </c>
      <c r="M46" s="9">
        <v>0.4</v>
      </c>
      <c r="N46" s="9">
        <v>0.24057173991398317</v>
      </c>
      <c r="O46" s="12">
        <v>0.49063171339724954</v>
      </c>
      <c r="P46" s="9">
        <v>0.24531585669862477</v>
      </c>
    </row>
    <row r="47" spans="1:16" s="1" customFormat="1" x14ac:dyDescent="0.3">
      <c r="A47"/>
      <c r="B47" s="16"/>
      <c r="C47" s="16"/>
      <c r="D47" s="19"/>
      <c r="E47" s="2"/>
      <c r="F47" s="7"/>
      <c r="G47" s="2"/>
      <c r="H47" s="7"/>
      <c r="I47" s="7"/>
      <c r="J47" s="7"/>
      <c r="K47" s="7"/>
      <c r="L47" s="7"/>
      <c r="M47" s="7"/>
      <c r="N47" s="7"/>
      <c r="O47" s="7"/>
      <c r="P47" s="7"/>
    </row>
    <row r="48" spans="1:16" x14ac:dyDescent="0.3">
      <c r="C48"/>
      <c r="D48" s="20"/>
      <c r="O48" s="8"/>
      <c r="P48" s="9"/>
    </row>
    <row r="49" spans="3:16" x14ac:dyDescent="0.3">
      <c r="C49"/>
      <c r="D49" s="20"/>
      <c r="O49" s="8"/>
      <c r="P49" s="9"/>
    </row>
    <row r="50" spans="3:16" x14ac:dyDescent="0.3">
      <c r="C50"/>
      <c r="D50" s="20"/>
      <c r="O50" s="8"/>
      <c r="P50" s="9"/>
    </row>
    <row r="51" spans="3:16" x14ac:dyDescent="0.3">
      <c r="C51"/>
      <c r="D51" s="20"/>
      <c r="O51" s="8"/>
      <c r="P51" s="9"/>
    </row>
    <row r="52" spans="3:16" x14ac:dyDescent="0.3">
      <c r="C52"/>
      <c r="D52" s="20"/>
      <c r="O52" s="8"/>
      <c r="P52" s="9"/>
    </row>
    <row r="53" spans="3:16" x14ac:dyDescent="0.3">
      <c r="C53"/>
      <c r="D53" s="20"/>
      <c r="O53" s="8"/>
      <c r="P53" s="9"/>
    </row>
    <row r="54" spans="3:16" x14ac:dyDescent="0.3">
      <c r="C54"/>
      <c r="D54" s="20"/>
      <c r="O54" s="8"/>
      <c r="P54" s="9"/>
    </row>
    <row r="55" spans="3:16" x14ac:dyDescent="0.3">
      <c r="C55"/>
      <c r="D55" s="20"/>
      <c r="O55" s="8"/>
      <c r="P55" s="9"/>
    </row>
    <row r="56" spans="3:16" x14ac:dyDescent="0.3">
      <c r="C56"/>
      <c r="D56" s="20"/>
      <c r="O56" s="8"/>
      <c r="P56" s="9"/>
    </row>
    <row r="57" spans="3:16" x14ac:dyDescent="0.3">
      <c r="C57"/>
      <c r="D57" s="20"/>
      <c r="O57" s="8"/>
      <c r="P57" s="9"/>
    </row>
    <row r="58" spans="3:16" x14ac:dyDescent="0.3">
      <c r="C58"/>
      <c r="D58" s="20"/>
      <c r="O58" s="8"/>
      <c r="P58" s="9"/>
    </row>
    <row r="59" spans="3:16" x14ac:dyDescent="0.3">
      <c r="C59"/>
      <c r="D59" s="20"/>
      <c r="O59" s="8"/>
      <c r="P59" s="9"/>
    </row>
    <row r="60" spans="3:16" x14ac:dyDescent="0.3">
      <c r="C60"/>
      <c r="D60" s="20"/>
      <c r="O60" s="8"/>
      <c r="P60" s="9"/>
    </row>
    <row r="61" spans="3:16" x14ac:dyDescent="0.3">
      <c r="C61"/>
      <c r="D61" s="20"/>
      <c r="O61" s="8"/>
      <c r="P61" s="9"/>
    </row>
    <row r="62" spans="3:16" x14ac:dyDescent="0.3">
      <c r="C62"/>
      <c r="D62" s="20"/>
      <c r="O62" s="8"/>
      <c r="P62" s="9"/>
    </row>
    <row r="63" spans="3:16" x14ac:dyDescent="0.3">
      <c r="C63"/>
      <c r="D63" s="20"/>
      <c r="O63" s="8"/>
      <c r="P63" s="9"/>
    </row>
    <row r="64" spans="3:16" x14ac:dyDescent="0.3">
      <c r="C64"/>
      <c r="D64" s="20"/>
      <c r="O64" s="8"/>
      <c r="P64" s="9"/>
    </row>
    <row r="65" spans="3:16" x14ac:dyDescent="0.3">
      <c r="C65"/>
      <c r="D65" s="20"/>
      <c r="O65" s="8"/>
      <c r="P65" s="9"/>
    </row>
    <row r="66" spans="3:16" x14ac:dyDescent="0.3">
      <c r="C66"/>
      <c r="D66" s="20"/>
      <c r="O66" s="8"/>
      <c r="P66" s="9"/>
    </row>
    <row r="67" spans="3:16" x14ac:dyDescent="0.3">
      <c r="C67"/>
      <c r="D67" s="20"/>
      <c r="O67" s="8"/>
      <c r="P67" s="9"/>
    </row>
    <row r="68" spans="3:16" x14ac:dyDescent="0.3">
      <c r="C68"/>
      <c r="D68" s="20"/>
      <c r="O68" s="8"/>
      <c r="P68" s="9"/>
    </row>
    <row r="69" spans="3:16" x14ac:dyDescent="0.3">
      <c r="C69"/>
      <c r="D69" s="20"/>
      <c r="O69" s="8"/>
      <c r="P69" s="9"/>
    </row>
    <row r="70" spans="3:16" x14ac:dyDescent="0.3">
      <c r="C70"/>
      <c r="D70" s="20"/>
      <c r="O70" s="8"/>
      <c r="P70" s="9"/>
    </row>
    <row r="71" spans="3:16" x14ac:dyDescent="0.3">
      <c r="C71"/>
      <c r="D71" s="20"/>
      <c r="O71" s="8"/>
      <c r="P71" s="9"/>
    </row>
    <row r="72" spans="3:16" x14ac:dyDescent="0.3">
      <c r="C72"/>
      <c r="D72" s="20"/>
      <c r="O72" s="8"/>
      <c r="P72" s="9"/>
    </row>
    <row r="73" spans="3:16" x14ac:dyDescent="0.3">
      <c r="C73"/>
      <c r="D73" s="20"/>
      <c r="O73" s="8"/>
      <c r="P73" s="9"/>
    </row>
    <row r="74" spans="3:16" x14ac:dyDescent="0.3">
      <c r="C74"/>
      <c r="D74" s="20"/>
      <c r="O74" s="8"/>
      <c r="P74" s="9"/>
    </row>
    <row r="75" spans="3:16" x14ac:dyDescent="0.3">
      <c r="C75"/>
      <c r="D75" s="20"/>
      <c r="O75" s="8"/>
      <c r="P75" s="9"/>
    </row>
    <row r="76" spans="3:16" x14ac:dyDescent="0.3">
      <c r="C76"/>
      <c r="D76" s="20"/>
      <c r="O76" s="8"/>
      <c r="P7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D41F-814E-4761-9D88-78C969F5CE22}">
  <dimension ref="A1:G76"/>
  <sheetViews>
    <sheetView tabSelected="1" workbookViewId="0">
      <pane ySplit="1" topLeftCell="A18" activePane="bottomLeft" state="frozen"/>
      <selection pane="bottomLeft" activeCell="C33" sqref="C33"/>
    </sheetView>
  </sheetViews>
  <sheetFormatPr defaultColWidth="11.19921875" defaultRowHeight="15.6" x14ac:dyDescent="0.3"/>
  <cols>
    <col min="1" max="2" width="18" bestFit="1" customWidth="1"/>
    <col min="3" max="3" width="41.3984375" style="20" bestFit="1" customWidth="1"/>
    <col min="4" max="4" width="20.296875" style="8" bestFit="1" customWidth="1"/>
    <col min="5" max="5" width="24.8984375" style="8" bestFit="1" customWidth="1"/>
    <col min="6" max="6" width="23.796875" style="8" bestFit="1" customWidth="1"/>
    <col min="7" max="7" width="18.69921875" style="8" bestFit="1" customWidth="1"/>
  </cols>
  <sheetData>
    <row r="1" spans="1:7" s="1" customFormat="1" x14ac:dyDescent="0.3">
      <c r="A1" s="1" t="s">
        <v>165</v>
      </c>
      <c r="B1" s="17" t="s">
        <v>101</v>
      </c>
      <c r="C1" s="17" t="s">
        <v>164</v>
      </c>
      <c r="D1" s="5" t="s">
        <v>211</v>
      </c>
      <c r="E1" s="6" t="s">
        <v>212</v>
      </c>
      <c r="F1" s="4" t="s">
        <v>213</v>
      </c>
      <c r="G1" s="3" t="s">
        <v>214</v>
      </c>
    </row>
    <row r="2" spans="1:7" x14ac:dyDescent="0.3">
      <c r="A2" t="s">
        <v>166</v>
      </c>
      <c r="B2" t="s">
        <v>109</v>
      </c>
      <c r="C2" s="11" t="s">
        <v>123</v>
      </c>
      <c r="D2" s="8">
        <v>1</v>
      </c>
      <c r="E2" s="8">
        <v>1</v>
      </c>
      <c r="F2" s="9">
        <v>0.01</v>
      </c>
      <c r="G2" s="9">
        <v>0.1</v>
      </c>
    </row>
    <row r="3" spans="1:7" x14ac:dyDescent="0.3">
      <c r="A3" t="s">
        <v>167</v>
      </c>
      <c r="B3" t="s">
        <v>109</v>
      </c>
      <c r="C3" s="11" t="s">
        <v>124</v>
      </c>
      <c r="D3" s="8">
        <v>1</v>
      </c>
      <c r="E3" s="8">
        <v>1</v>
      </c>
      <c r="F3" s="9">
        <v>0.01</v>
      </c>
      <c r="G3" s="9">
        <v>0.1</v>
      </c>
    </row>
    <row r="4" spans="1:7" x14ac:dyDescent="0.3">
      <c r="A4" t="s">
        <v>168</v>
      </c>
      <c r="B4" t="s">
        <v>109</v>
      </c>
      <c r="C4" s="11" t="s">
        <v>125</v>
      </c>
      <c r="D4" s="8">
        <v>5</v>
      </c>
      <c r="E4" s="8">
        <v>1</v>
      </c>
      <c r="F4" s="9">
        <v>0.01</v>
      </c>
      <c r="G4" s="8">
        <v>0.05</v>
      </c>
    </row>
    <row r="5" spans="1:7" x14ac:dyDescent="0.3">
      <c r="A5" t="s">
        <v>169</v>
      </c>
      <c r="B5" t="s">
        <v>109</v>
      </c>
      <c r="C5" s="11" t="s">
        <v>126</v>
      </c>
      <c r="D5" s="8">
        <v>1</v>
      </c>
      <c r="E5" s="8">
        <v>1</v>
      </c>
      <c r="F5" s="9">
        <v>0.01</v>
      </c>
      <c r="G5" s="8">
        <v>0.05</v>
      </c>
    </row>
    <row r="6" spans="1:7" x14ac:dyDescent="0.3">
      <c r="A6" t="s">
        <v>170</v>
      </c>
      <c r="B6" t="s">
        <v>110</v>
      </c>
      <c r="C6" t="s">
        <v>127</v>
      </c>
      <c r="D6" s="8">
        <v>225</v>
      </c>
      <c r="E6" s="8">
        <v>12</v>
      </c>
      <c r="F6" s="14">
        <v>1.9896753472730335E-4</v>
      </c>
      <c r="G6" s="8">
        <v>0.01</v>
      </c>
    </row>
    <row r="7" spans="1:7" x14ac:dyDescent="0.3">
      <c r="A7" t="s">
        <v>171</v>
      </c>
      <c r="B7" t="s">
        <v>111</v>
      </c>
      <c r="C7" t="s">
        <v>102</v>
      </c>
      <c r="D7" s="8">
        <v>5</v>
      </c>
      <c r="E7" s="8">
        <v>4</v>
      </c>
      <c r="F7" s="8">
        <v>0.6</v>
      </c>
      <c r="G7" s="8">
        <v>1</v>
      </c>
    </row>
    <row r="8" spans="1:7" x14ac:dyDescent="0.3">
      <c r="A8" t="s">
        <v>172</v>
      </c>
      <c r="B8" t="s">
        <v>112</v>
      </c>
      <c r="C8" s="15" t="s">
        <v>128</v>
      </c>
      <c r="D8" s="8">
        <v>64</v>
      </c>
      <c r="E8" s="8">
        <v>21</v>
      </c>
      <c r="F8" s="8">
        <v>0.05</v>
      </c>
      <c r="G8" s="8">
        <v>0.12</v>
      </c>
    </row>
    <row r="9" spans="1:7" x14ac:dyDescent="0.3">
      <c r="A9" t="s">
        <v>173</v>
      </c>
      <c r="B9" t="s">
        <v>113</v>
      </c>
      <c r="C9" s="15" t="s">
        <v>129</v>
      </c>
      <c r="D9" s="8">
        <v>4</v>
      </c>
      <c r="E9" s="8">
        <v>1</v>
      </c>
      <c r="F9" s="8">
        <v>0.26</v>
      </c>
      <c r="G9" s="8">
        <v>0.3</v>
      </c>
    </row>
    <row r="10" spans="1:7" x14ac:dyDescent="0.3">
      <c r="A10" t="s">
        <v>174</v>
      </c>
      <c r="B10" t="s">
        <v>113</v>
      </c>
      <c r="C10" s="15" t="s">
        <v>130</v>
      </c>
      <c r="D10" s="8">
        <v>1</v>
      </c>
      <c r="E10" s="8">
        <v>1</v>
      </c>
      <c r="F10" s="8">
        <v>0.01</v>
      </c>
      <c r="G10" s="8">
        <v>0.12</v>
      </c>
    </row>
    <row r="11" spans="1:7" x14ac:dyDescent="0.3">
      <c r="A11" t="s">
        <v>175</v>
      </c>
      <c r="B11" t="s">
        <v>113</v>
      </c>
      <c r="C11" s="15" t="s">
        <v>131</v>
      </c>
      <c r="D11" s="8">
        <v>1</v>
      </c>
      <c r="E11" s="8">
        <v>1</v>
      </c>
      <c r="F11" s="8">
        <v>0.01</v>
      </c>
      <c r="G11" s="8">
        <v>0.01</v>
      </c>
    </row>
    <row r="12" spans="1:7" x14ac:dyDescent="0.3">
      <c r="A12" t="s">
        <v>176</v>
      </c>
      <c r="B12" t="s">
        <v>113</v>
      </c>
      <c r="C12" s="15" t="s">
        <v>132</v>
      </c>
      <c r="D12" s="8">
        <v>451</v>
      </c>
      <c r="E12" s="8">
        <v>61</v>
      </c>
      <c r="F12" s="8">
        <v>0.1</v>
      </c>
      <c r="G12" s="8">
        <v>0.2</v>
      </c>
    </row>
    <row r="13" spans="1:7" x14ac:dyDescent="0.3">
      <c r="A13" t="s">
        <v>177</v>
      </c>
      <c r="B13" t="s">
        <v>114</v>
      </c>
      <c r="C13" s="11" t="s">
        <v>133</v>
      </c>
      <c r="D13" s="8">
        <v>1</v>
      </c>
      <c r="E13" s="8">
        <v>1</v>
      </c>
      <c r="F13" s="8">
        <v>0.01</v>
      </c>
      <c r="G13" s="8">
        <v>0.03</v>
      </c>
    </row>
    <row r="14" spans="1:7" x14ac:dyDescent="0.3">
      <c r="A14" t="s">
        <v>178</v>
      </c>
      <c r="B14" t="s">
        <v>114</v>
      </c>
      <c r="C14" s="11" t="s">
        <v>134</v>
      </c>
      <c r="D14" s="8">
        <v>67</v>
      </c>
      <c r="E14" s="8">
        <v>26</v>
      </c>
      <c r="F14" s="8">
        <v>0.05</v>
      </c>
      <c r="G14" s="8">
        <v>0.05</v>
      </c>
    </row>
    <row r="15" spans="1:7" x14ac:dyDescent="0.3">
      <c r="A15" t="s">
        <v>179</v>
      </c>
      <c r="B15" t="s">
        <v>114</v>
      </c>
      <c r="C15" s="11" t="s">
        <v>135</v>
      </c>
      <c r="D15" s="8">
        <v>11</v>
      </c>
      <c r="E15" s="8">
        <v>3</v>
      </c>
      <c r="F15" s="8">
        <v>0.06</v>
      </c>
      <c r="G15" s="8">
        <v>7.0000000000000007E-2</v>
      </c>
    </row>
    <row r="16" spans="1:7" x14ac:dyDescent="0.3">
      <c r="A16" t="s">
        <v>180</v>
      </c>
      <c r="B16" t="s">
        <v>114</v>
      </c>
      <c r="C16" s="11" t="s">
        <v>136</v>
      </c>
      <c r="D16" s="8">
        <v>2</v>
      </c>
      <c r="E16" s="8">
        <v>1</v>
      </c>
      <c r="F16" s="8">
        <v>0.01</v>
      </c>
      <c r="G16" s="8">
        <v>0.1</v>
      </c>
    </row>
    <row r="17" spans="1:7" x14ac:dyDescent="0.3">
      <c r="A17" t="s">
        <v>181</v>
      </c>
      <c r="B17" t="s">
        <v>114</v>
      </c>
      <c r="C17" s="11" t="s">
        <v>137</v>
      </c>
      <c r="D17" s="8">
        <v>88</v>
      </c>
      <c r="E17" s="8">
        <v>30</v>
      </c>
      <c r="F17" s="8">
        <v>0.01</v>
      </c>
      <c r="G17" s="8">
        <v>0.01</v>
      </c>
    </row>
    <row r="18" spans="1:7" x14ac:dyDescent="0.3">
      <c r="A18" t="s">
        <v>182</v>
      </c>
      <c r="B18" t="s">
        <v>114</v>
      </c>
      <c r="C18" s="11" t="s">
        <v>138</v>
      </c>
      <c r="D18" s="8">
        <v>5</v>
      </c>
      <c r="E18" s="8">
        <v>5</v>
      </c>
      <c r="F18" s="8">
        <v>0.08</v>
      </c>
      <c r="G18" s="8">
        <v>0.1</v>
      </c>
    </row>
    <row r="19" spans="1:7" x14ac:dyDescent="0.3">
      <c r="A19" t="s">
        <v>183</v>
      </c>
      <c r="B19" t="s">
        <v>114</v>
      </c>
      <c r="C19" s="11" t="s">
        <v>139</v>
      </c>
      <c r="D19" s="8">
        <v>1</v>
      </c>
      <c r="E19" s="8">
        <v>1</v>
      </c>
      <c r="F19" s="8">
        <v>0.03</v>
      </c>
      <c r="G19" s="8">
        <v>0.1</v>
      </c>
    </row>
    <row r="20" spans="1:7" x14ac:dyDescent="0.3">
      <c r="A20" t="s">
        <v>184</v>
      </c>
      <c r="B20" t="s">
        <v>114</v>
      </c>
      <c r="C20" s="11" t="s">
        <v>140</v>
      </c>
      <c r="D20" s="8">
        <v>32</v>
      </c>
      <c r="E20" s="8">
        <v>15</v>
      </c>
      <c r="F20" s="8">
        <v>0.01</v>
      </c>
      <c r="G20" s="8">
        <v>0.01</v>
      </c>
    </row>
    <row r="21" spans="1:7" x14ac:dyDescent="0.3">
      <c r="A21" t="s">
        <v>185</v>
      </c>
      <c r="B21" t="s">
        <v>114</v>
      </c>
      <c r="C21" s="11" t="s">
        <v>141</v>
      </c>
      <c r="D21" s="8">
        <v>132</v>
      </c>
      <c r="E21" s="8">
        <v>28</v>
      </c>
      <c r="F21" s="8">
        <v>0.02</v>
      </c>
      <c r="G21" s="8">
        <v>0.03</v>
      </c>
    </row>
    <row r="22" spans="1:7" x14ac:dyDescent="0.3">
      <c r="A22" t="s">
        <v>186</v>
      </c>
      <c r="B22" t="s">
        <v>115</v>
      </c>
      <c r="C22" s="15" t="s">
        <v>142</v>
      </c>
      <c r="D22" s="8">
        <v>5</v>
      </c>
      <c r="E22" s="8">
        <v>4</v>
      </c>
      <c r="F22" s="8">
        <v>0.04</v>
      </c>
      <c r="G22" s="8">
        <v>0.01</v>
      </c>
    </row>
    <row r="23" spans="1:7" x14ac:dyDescent="0.3">
      <c r="A23" t="s">
        <v>187</v>
      </c>
      <c r="B23" t="s">
        <v>115</v>
      </c>
      <c r="C23" s="15" t="s">
        <v>143</v>
      </c>
      <c r="D23" s="8">
        <v>44</v>
      </c>
      <c r="E23" s="8">
        <v>16</v>
      </c>
      <c r="F23" s="8">
        <v>0.09</v>
      </c>
      <c r="G23" s="8">
        <v>0.02</v>
      </c>
    </row>
    <row r="24" spans="1:7" x14ac:dyDescent="0.3">
      <c r="A24" t="s">
        <v>188</v>
      </c>
      <c r="B24" t="s">
        <v>116</v>
      </c>
      <c r="C24" s="15" t="s">
        <v>144</v>
      </c>
      <c r="D24" s="8">
        <v>69</v>
      </c>
      <c r="E24" s="8">
        <v>10</v>
      </c>
      <c r="F24" s="8">
        <v>0.08</v>
      </c>
      <c r="G24" s="8">
        <v>0.1</v>
      </c>
    </row>
    <row r="25" spans="1:7" x14ac:dyDescent="0.3">
      <c r="A25" t="s">
        <v>189</v>
      </c>
      <c r="B25" t="s">
        <v>116</v>
      </c>
      <c r="C25" s="15" t="s">
        <v>145</v>
      </c>
      <c r="D25" s="8">
        <v>2</v>
      </c>
      <c r="E25" s="8">
        <v>2</v>
      </c>
      <c r="F25" s="8">
        <v>0.01</v>
      </c>
      <c r="G25" s="8">
        <v>0.05</v>
      </c>
    </row>
    <row r="26" spans="1:7" x14ac:dyDescent="0.3">
      <c r="A26" t="s">
        <v>190</v>
      </c>
      <c r="B26" t="s">
        <v>116</v>
      </c>
      <c r="C26" s="15" t="s">
        <v>146</v>
      </c>
      <c r="D26" s="8">
        <v>2</v>
      </c>
      <c r="E26" s="8">
        <v>1</v>
      </c>
      <c r="F26" s="8">
        <v>0.01</v>
      </c>
      <c r="G26" s="8">
        <v>0.05</v>
      </c>
    </row>
    <row r="27" spans="1:7" x14ac:dyDescent="0.3">
      <c r="A27" t="s">
        <v>191</v>
      </c>
      <c r="B27" t="s">
        <v>117</v>
      </c>
      <c r="C27" s="15" t="s">
        <v>147</v>
      </c>
      <c r="D27" s="8">
        <v>1</v>
      </c>
      <c r="E27" s="8">
        <v>1</v>
      </c>
      <c r="F27" s="8">
        <v>0.01</v>
      </c>
      <c r="G27" s="9">
        <v>6.7732737611378852E-3</v>
      </c>
    </row>
    <row r="28" spans="1:7" x14ac:dyDescent="0.3">
      <c r="A28" t="s">
        <v>192</v>
      </c>
      <c r="B28" t="s">
        <v>117</v>
      </c>
      <c r="C28" s="15" t="s">
        <v>148</v>
      </c>
      <c r="D28" s="8">
        <v>5</v>
      </c>
      <c r="E28" s="8">
        <v>3</v>
      </c>
      <c r="F28" s="8">
        <v>0.1</v>
      </c>
      <c r="G28" s="9">
        <v>0.25048965424616293</v>
      </c>
    </row>
    <row r="29" spans="1:7" x14ac:dyDescent="0.3">
      <c r="A29" t="s">
        <v>193</v>
      </c>
      <c r="B29" t="s">
        <v>117</v>
      </c>
      <c r="C29" s="15" t="s">
        <v>149</v>
      </c>
      <c r="D29" s="8">
        <v>1</v>
      </c>
      <c r="E29" s="8">
        <v>1</v>
      </c>
      <c r="F29" s="8">
        <v>0.01</v>
      </c>
      <c r="G29" s="9">
        <v>5.6847119066692951E-2</v>
      </c>
    </row>
    <row r="30" spans="1:7" x14ac:dyDescent="0.3">
      <c r="A30" t="s">
        <v>194</v>
      </c>
      <c r="B30" t="s">
        <v>118</v>
      </c>
      <c r="C30" s="15" t="s">
        <v>150</v>
      </c>
      <c r="D30" s="8">
        <v>4</v>
      </c>
      <c r="E30" s="8">
        <v>4</v>
      </c>
      <c r="F30" s="8">
        <v>0.2</v>
      </c>
      <c r="G30" s="8">
        <v>0.25</v>
      </c>
    </row>
    <row r="31" spans="1:7" x14ac:dyDescent="0.3">
      <c r="A31" t="s">
        <v>195</v>
      </c>
      <c r="B31" t="s">
        <v>118</v>
      </c>
      <c r="C31" s="15" t="s">
        <v>151</v>
      </c>
      <c r="D31" s="8">
        <v>1</v>
      </c>
      <c r="E31" s="8">
        <v>1</v>
      </c>
      <c r="F31" s="8">
        <v>0.01</v>
      </c>
      <c r="G31" s="8">
        <v>0.02</v>
      </c>
    </row>
    <row r="32" spans="1:7" x14ac:dyDescent="0.3">
      <c r="A32" t="s">
        <v>196</v>
      </c>
      <c r="B32" t="s">
        <v>118</v>
      </c>
      <c r="C32" s="15" t="s">
        <v>152</v>
      </c>
      <c r="D32" s="8">
        <v>1</v>
      </c>
      <c r="E32" s="8">
        <v>1</v>
      </c>
      <c r="F32" s="8">
        <v>0.01</v>
      </c>
      <c r="G32" s="8">
        <v>0.01</v>
      </c>
    </row>
    <row r="33" spans="1:7" x14ac:dyDescent="0.3">
      <c r="A33" t="s">
        <v>197</v>
      </c>
      <c r="B33" t="s">
        <v>118</v>
      </c>
      <c r="C33" s="15" t="s">
        <v>153</v>
      </c>
      <c r="D33" s="8">
        <v>1</v>
      </c>
      <c r="E33" s="8">
        <v>1</v>
      </c>
      <c r="F33" s="8">
        <v>0.02</v>
      </c>
      <c r="G33" s="8">
        <v>0.02</v>
      </c>
    </row>
    <row r="34" spans="1:7" x14ac:dyDescent="0.3">
      <c r="A34" t="s">
        <v>198</v>
      </c>
      <c r="B34" t="s">
        <v>118</v>
      </c>
      <c r="C34" s="15" t="s">
        <v>154</v>
      </c>
      <c r="D34" s="8">
        <v>815</v>
      </c>
      <c r="E34" s="8">
        <v>17</v>
      </c>
      <c r="F34" s="8">
        <v>1E-3</v>
      </c>
      <c r="G34" s="8">
        <v>2.9999999999999997E-4</v>
      </c>
    </row>
    <row r="35" spans="1:7" x14ac:dyDescent="0.3">
      <c r="A35" t="s">
        <v>199</v>
      </c>
      <c r="B35" t="s">
        <v>119</v>
      </c>
      <c r="C35" s="15" t="s">
        <v>155</v>
      </c>
      <c r="D35" s="8">
        <v>2</v>
      </c>
      <c r="E35" s="8">
        <v>1</v>
      </c>
      <c r="F35" s="8">
        <v>0.08</v>
      </c>
      <c r="G35" s="8">
        <v>0.1</v>
      </c>
    </row>
    <row r="36" spans="1:7" x14ac:dyDescent="0.3">
      <c r="A36" t="s">
        <v>200</v>
      </c>
      <c r="B36" t="s">
        <v>119</v>
      </c>
      <c r="C36" s="15" t="s">
        <v>156</v>
      </c>
      <c r="D36" s="8">
        <v>3</v>
      </c>
      <c r="E36" s="8">
        <v>3</v>
      </c>
      <c r="F36" s="8">
        <v>0.65</v>
      </c>
      <c r="G36" s="8">
        <v>0.6</v>
      </c>
    </row>
    <row r="37" spans="1:7" x14ac:dyDescent="0.3">
      <c r="A37" t="s">
        <v>201</v>
      </c>
      <c r="B37" t="s">
        <v>120</v>
      </c>
      <c r="C37" s="15" t="s">
        <v>157</v>
      </c>
      <c r="D37" s="8">
        <v>8</v>
      </c>
      <c r="E37" s="8">
        <v>7</v>
      </c>
      <c r="F37" s="8">
        <v>0.37</v>
      </c>
      <c r="G37" s="8">
        <v>0.3</v>
      </c>
    </row>
    <row r="38" spans="1:7" x14ac:dyDescent="0.3">
      <c r="A38" t="s">
        <v>202</v>
      </c>
      <c r="B38" s="18" t="s">
        <v>104</v>
      </c>
      <c r="C38" s="15" t="s">
        <v>158</v>
      </c>
      <c r="D38" s="8">
        <v>4</v>
      </c>
      <c r="E38" s="8">
        <v>3</v>
      </c>
      <c r="F38" s="8">
        <v>0.01</v>
      </c>
      <c r="G38" s="8">
        <v>0.01</v>
      </c>
    </row>
    <row r="39" spans="1:7" x14ac:dyDescent="0.3">
      <c r="A39" t="s">
        <v>203</v>
      </c>
      <c r="B39" t="s">
        <v>121</v>
      </c>
      <c r="C39" s="15" t="s">
        <v>159</v>
      </c>
      <c r="D39" s="8">
        <v>11</v>
      </c>
      <c r="E39" s="8">
        <v>7</v>
      </c>
      <c r="F39" s="8">
        <v>1.52</v>
      </c>
      <c r="G39" s="8">
        <v>3</v>
      </c>
    </row>
    <row r="40" spans="1:7" x14ac:dyDescent="0.3">
      <c r="A40" t="s">
        <v>204</v>
      </c>
      <c r="B40" t="s">
        <v>122</v>
      </c>
      <c r="C40" s="15" t="s">
        <v>103</v>
      </c>
      <c r="D40" s="8">
        <v>8</v>
      </c>
      <c r="E40" s="8">
        <v>4</v>
      </c>
      <c r="F40" s="8">
        <v>0.01</v>
      </c>
      <c r="G40" s="8">
        <v>0.01</v>
      </c>
    </row>
    <row r="41" spans="1:7" x14ac:dyDescent="0.3">
      <c r="A41" t="s">
        <v>205</v>
      </c>
      <c r="B41" t="s">
        <v>122</v>
      </c>
      <c r="C41" s="15" t="s">
        <v>160</v>
      </c>
      <c r="D41" s="8">
        <v>1</v>
      </c>
      <c r="E41" s="8">
        <v>1</v>
      </c>
      <c r="F41" s="8">
        <v>0.64</v>
      </c>
      <c r="G41" s="8">
        <v>0.5</v>
      </c>
    </row>
    <row r="42" spans="1:7" x14ac:dyDescent="0.3">
      <c r="A42" t="s">
        <v>206</v>
      </c>
      <c r="B42" t="s">
        <v>105</v>
      </c>
      <c r="C42" t="s">
        <v>161</v>
      </c>
      <c r="D42" s="8">
        <v>1</v>
      </c>
      <c r="E42" s="8">
        <v>1</v>
      </c>
      <c r="F42" s="8">
        <v>0.01</v>
      </c>
      <c r="G42" s="8">
        <v>0.02</v>
      </c>
    </row>
    <row r="43" spans="1:7" x14ac:dyDescent="0.3">
      <c r="A43" t="s">
        <v>207</v>
      </c>
      <c r="B43" t="s">
        <v>107</v>
      </c>
      <c r="C43" s="15" t="s">
        <v>162</v>
      </c>
      <c r="D43" s="8">
        <v>2</v>
      </c>
      <c r="E43" s="8">
        <v>2</v>
      </c>
      <c r="F43" s="8">
        <v>0.1</v>
      </c>
      <c r="G43" s="8">
        <v>0.02</v>
      </c>
    </row>
    <row r="44" spans="1:7" x14ac:dyDescent="0.3">
      <c r="A44" t="s">
        <v>208</v>
      </c>
      <c r="B44" t="s">
        <v>106</v>
      </c>
      <c r="C44" s="15" t="s">
        <v>163</v>
      </c>
      <c r="D44" s="8">
        <v>2</v>
      </c>
      <c r="E44" s="8">
        <v>2</v>
      </c>
      <c r="F44" s="8">
        <v>0.01</v>
      </c>
      <c r="G44" s="8">
        <v>0.03</v>
      </c>
    </row>
    <row r="45" spans="1:7" x14ac:dyDescent="0.3">
      <c r="A45" t="s">
        <v>209</v>
      </c>
      <c r="B45" t="s">
        <v>88</v>
      </c>
      <c r="C45" s="15" t="s">
        <v>108</v>
      </c>
      <c r="D45" s="8">
        <v>1</v>
      </c>
      <c r="E45" s="8">
        <v>1</v>
      </c>
      <c r="F45" s="8">
        <v>0.01</v>
      </c>
      <c r="G45" s="8">
        <v>0.02</v>
      </c>
    </row>
    <row r="46" spans="1:7" x14ac:dyDescent="0.3">
      <c r="A46" t="s">
        <v>210</v>
      </c>
      <c r="B46" t="s">
        <v>92</v>
      </c>
      <c r="C46" s="15" t="s">
        <v>93</v>
      </c>
      <c r="D46" s="8">
        <v>2</v>
      </c>
      <c r="E46" s="8">
        <v>2</v>
      </c>
      <c r="F46" s="8">
        <v>0.12</v>
      </c>
      <c r="G46" s="8">
        <v>0.2</v>
      </c>
    </row>
    <row r="47" spans="1:7" s="1" customFormat="1" x14ac:dyDescent="0.3">
      <c r="A47"/>
      <c r="B47" s="16"/>
      <c r="C47" s="16"/>
      <c r="D47" s="2"/>
      <c r="E47" s="2"/>
      <c r="F47" s="7"/>
      <c r="G47" s="7"/>
    </row>
    <row r="48" spans="1:7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psiri</vt:lpstr>
      <vt:lpstr>psiri-prepared</vt:lpstr>
      <vt:lpstr>psiri-final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Felipe Toledo</dc:creator>
  <cp:lastModifiedBy>Tatiane Micheletti Ribeiro Silva</cp:lastModifiedBy>
  <dcterms:created xsi:type="dcterms:W3CDTF">2022-10-18T23:30:24Z</dcterms:created>
  <dcterms:modified xsi:type="dcterms:W3CDTF">2026-07-14T07:11:31Z</dcterms:modified>
</cp:coreProperties>
</file>