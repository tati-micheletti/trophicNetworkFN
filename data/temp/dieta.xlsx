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eu Drive\Noronha\"/>
    </mc:Choice>
  </mc:AlternateContent>
  <xr:revisionPtr revIDLastSave="0" documentId="13_ncr:1_{D35BBDA4-3B33-4847-BBB5-FF8A74FC7B28}" xr6:coauthVersionLast="47" xr6:coauthVersionMax="47" xr10:uidLastSave="{00000000-0000-0000-0000-000000000000}"/>
  <bookViews>
    <workbookView xWindow="-120" yWindow="-120" windowWidth="29040" windowHeight="15720" xr2:uid="{F2C52718-8E47-452E-AE15-9126A298BD8C}"/>
  </bookViews>
  <sheets>
    <sheet name="Planilha2" sheetId="9" r:id="rId1"/>
    <sheet name="agora vai" sheetId="8" r:id="rId2"/>
    <sheet name="geral" sheetId="1" r:id="rId3"/>
    <sheet name="PSi" sheetId="4" r:id="rId4"/>
    <sheet name="psiri_mod" sheetId="6" r:id="rId5"/>
    <sheet name="ordem" sheetId="2" r:id="rId6"/>
    <sheet name="quadratica" sheetId="3" r:id="rId7"/>
    <sheet name="quadratica2" sheetId="5" r:id="rId8"/>
    <sheet name="quadratica_mof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8" l="1"/>
  <c r="D14" i="8"/>
  <c r="C14" i="8"/>
  <c r="K27" i="6"/>
  <c r="J2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H2" authorId="0" shapeId="0" xr:uid="{C2D40FA2-EFB7-4353-9771-B903FEC4EE71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H3" authorId="0" shapeId="0" xr:uid="{A584AD89-0EB5-4057-93A8-C427047D1AD0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H4" authorId="0" shapeId="0" xr:uid="{E5B2ED1E-A729-4555-99A6-7BA99D6F05DC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filo</t>
        </r>
      </text>
    </comment>
    <comment ref="H5" authorId="0" shapeId="0" xr:uid="{7C0D0F49-863E-4ABD-A3AD-FD56E2AD294D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H6" authorId="0" shapeId="0" xr:uid="{F71A6827-7A07-41ED-8911-D4B880C4C3D0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H2" authorId="0" shapeId="0" xr:uid="{3A8A3CCF-BCA0-4870-9E06-E7ED8718F7B0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H3" authorId="0" shapeId="0" xr:uid="{2DEAB630-E20D-4E49-B3B5-D8271F7ED31B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H4" authorId="0" shapeId="0" xr:uid="{5B9A6661-4779-4113-A178-933AB3A0BED8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filo</t>
        </r>
      </text>
    </comment>
    <comment ref="H5" authorId="0" shapeId="0" xr:uid="{6161275C-840F-464B-A3CF-2C7882853629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H6" authorId="0" shapeId="0" xr:uid="{92250386-F326-4984-9B5B-29656E1F49D3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G1" authorId="0" shapeId="0" xr:uid="{B5FE1F58-A396-49FE-90B5-B4259ACE1D77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H1" authorId="0" shapeId="0" xr:uid="{E118D742-2A6A-47C2-8477-C21FCFEBFD84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I1" authorId="0" shapeId="0" xr:uid="{4968F760-A379-4739-A22E-7EAE0F0DE5B0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filo</t>
        </r>
      </text>
    </comment>
    <comment ref="J1" authorId="0" shapeId="0" xr:uid="{1AB0FC8D-526F-4503-B64F-5156AE892615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K1" authorId="0" shapeId="0" xr:uid="{E0EF0315-DDCC-45ED-BFA2-CD426B18D46E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7" authorId="0" shapeId="0" xr:uid="{64FC6494-E403-494B-9678-8C0C8D2A1AA3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8" authorId="0" shapeId="0" xr:uid="{2D80E4C1-B81B-4E81-8317-5B9735A771E7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9" authorId="0" shapeId="0" xr:uid="{4B9CD728-BE2F-4176-871B-FB6EA2B5A9E6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filo</t>
        </r>
      </text>
    </comment>
    <comment ref="A10" authorId="0" shapeId="0" xr:uid="{180F8CCA-536F-4A0E-B644-4539E7D8C907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11" authorId="0" shapeId="0" xr:uid="{5525942E-5E01-4E32-8B1A-C5E59AF9A21F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</commentList>
</comments>
</file>

<file path=xl/sharedStrings.xml><?xml version="1.0" encoding="utf-8"?>
<sst xmlns="http://schemas.openxmlformats.org/spreadsheetml/2006/main" count="819" uniqueCount="160">
  <si>
    <t>Teiu</t>
  </si>
  <si>
    <t>Gato</t>
  </si>
  <si>
    <t>Rato</t>
  </si>
  <si>
    <t>Sapo</t>
  </si>
  <si>
    <t>Trachylepis</t>
  </si>
  <si>
    <t>Amphisbaena</t>
  </si>
  <si>
    <t>Caranguejo</t>
  </si>
  <si>
    <t>Seriguela</t>
  </si>
  <si>
    <t>Banana</t>
  </si>
  <si>
    <t>Homoptera</t>
  </si>
  <si>
    <t>Cephalopoda</t>
  </si>
  <si>
    <t>Gastropoda</t>
  </si>
  <si>
    <t>Diplopoda</t>
  </si>
  <si>
    <t>Coleoptera</t>
  </si>
  <si>
    <t>Diptera</t>
  </si>
  <si>
    <t>Amphipoda</t>
  </si>
  <si>
    <t>Acari</t>
  </si>
  <si>
    <t>Hemiptera</t>
  </si>
  <si>
    <t>Chilopoda</t>
  </si>
  <si>
    <t>Dermaptera</t>
  </si>
  <si>
    <t>Ortoptera</t>
  </si>
  <si>
    <t>Phasmatoda</t>
  </si>
  <si>
    <t>Araneae</t>
  </si>
  <si>
    <t>Bird</t>
  </si>
  <si>
    <t>Pineapple</t>
  </si>
  <si>
    <t>Blattaria</t>
  </si>
  <si>
    <t>Cashew</t>
  </si>
  <si>
    <t>Ixodida</t>
  </si>
  <si>
    <t>Isoptera</t>
  </si>
  <si>
    <t>Formicidae</t>
  </si>
  <si>
    <t>Isopoda</t>
  </si>
  <si>
    <t>Coleoptera_larvae</t>
  </si>
  <si>
    <t>Diptera_larvae</t>
  </si>
  <si>
    <t>Lepidoptera_larvae</t>
  </si>
  <si>
    <t>Watermelon</t>
  </si>
  <si>
    <t>NI</t>
  </si>
  <si>
    <t>Opiliones</t>
  </si>
  <si>
    <t>Fish</t>
  </si>
  <si>
    <t>Coleoptera_pupa</t>
  </si>
  <si>
    <t>Mosca_pupa</t>
  </si>
  <si>
    <t>Hymenoptera</t>
  </si>
  <si>
    <t>Allopeas_micra</t>
  </si>
  <si>
    <t>Animal_NI</t>
  </si>
  <si>
    <t>Fruit_NI</t>
  </si>
  <si>
    <t>Gecarcinus_lagostoma</t>
  </si>
  <si>
    <t>Hyperaulax_ridleyi</t>
  </si>
  <si>
    <t>Insecta_NI</t>
  </si>
  <si>
    <t>Kerodon_rupestris</t>
  </si>
  <si>
    <t>Mammal_NI</t>
  </si>
  <si>
    <t>Mus_musculus</t>
  </si>
  <si>
    <t>Ocypode_quadrata</t>
  </si>
  <si>
    <t>Rattus_sp</t>
  </si>
  <si>
    <t>Reptiles_(scale)</t>
  </si>
  <si>
    <t>Rodentia_NI</t>
  </si>
  <si>
    <t>Seeds_NI</t>
  </si>
  <si>
    <t>Trachylepis_atlantica</t>
  </si>
  <si>
    <t>Vegetal_NI</t>
  </si>
  <si>
    <t>Pulmonata</t>
  </si>
  <si>
    <t>Brachyura</t>
  </si>
  <si>
    <t>Rodentia</t>
  </si>
  <si>
    <t>Diptera_pupa</t>
  </si>
  <si>
    <t>Orthoptera</t>
  </si>
  <si>
    <t>Squamata</t>
  </si>
  <si>
    <t>Lacertidia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</si>
  <si>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</si>
  <si>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</si>
  <si>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</si>
  <si>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</si>
  <si>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</si>
  <si>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</si>
  <si>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</si>
  <si>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</si>
  <si>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</si>
  <si>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</si>
  <si>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</si>
  <si>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</si>
  <si>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</si>
  <si>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</si>
  <si>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</si>
  <si>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</si>
  <si>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</si>
  <si>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</si>
  <si>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</si>
  <si>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</si>
  <si>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</si>
  <si>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</si>
  <si>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</si>
  <si>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</si>
  <si>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</si>
  <si>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</si>
  <si>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</si>
  <si>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</si>
  <si>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</si>
  <si>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</si>
  <si>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</si>
  <si>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</si>
  <si>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</si>
  <si>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</si>
  <si>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</si>
  <si>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</si>
  <si>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</si>
  <si>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P1</t>
  </si>
  <si>
    <t>P2</t>
  </si>
  <si>
    <t>T1</t>
  </si>
  <si>
    <t>T2</t>
  </si>
  <si>
    <t>Lycosidae</t>
  </si>
  <si>
    <t>Seeds</t>
  </si>
  <si>
    <t>Ticks</t>
  </si>
  <si>
    <t>Fruits</t>
  </si>
  <si>
    <t>Rhinella</t>
  </si>
  <si>
    <t>Felis_catus</t>
  </si>
  <si>
    <t>Rattus_rattus</t>
  </si>
  <si>
    <t>Salvator_merianae</t>
  </si>
  <si>
    <t>Rattus_spp._</t>
  </si>
  <si>
    <t>Amphisbaena_ridleyi</t>
  </si>
  <si>
    <t>Unidentified_insects</t>
  </si>
  <si>
    <t>Argonauta_sp.</t>
  </si>
  <si>
    <t>Goniopsis_cruentata</t>
  </si>
  <si>
    <t>Unidentified_material</t>
  </si>
  <si>
    <t>Lepidoptera</t>
  </si>
  <si>
    <t>Phasmida</t>
  </si>
  <si>
    <t>Decapoda</t>
  </si>
  <si>
    <t>Birds</t>
  </si>
  <si>
    <t>Animal_tissue</t>
  </si>
  <si>
    <t>Mammal</t>
  </si>
  <si>
    <t>Vegetal</t>
  </si>
  <si>
    <t>Ixodidae</t>
  </si>
  <si>
    <t>Chepalopoda</t>
  </si>
  <si>
    <t>PSIRI</t>
  </si>
  <si>
    <t>ABUN</t>
  </si>
  <si>
    <t>Myriapoda</t>
  </si>
  <si>
    <t>Mollusca</t>
  </si>
  <si>
    <t>Crustacea</t>
  </si>
  <si>
    <t>Chelicerata</t>
  </si>
  <si>
    <t>Pancrustacea</t>
  </si>
  <si>
    <t>invertebrados_ter</t>
  </si>
  <si>
    <t>invertebrados_aq</t>
  </si>
  <si>
    <t>rodentia</t>
  </si>
  <si>
    <t>trachylepis_atlantica</t>
  </si>
  <si>
    <t>kerodon_rupestris</t>
  </si>
  <si>
    <t>birds</t>
  </si>
  <si>
    <t>amphisbaena_ridleyi</t>
  </si>
  <si>
    <t>felis_catus</t>
  </si>
  <si>
    <t>rattus_rattus</t>
  </si>
  <si>
    <t>salvator_merianae</t>
  </si>
  <si>
    <t>rhinella</t>
  </si>
  <si>
    <t>p1</t>
  </si>
  <si>
    <t>p2</t>
  </si>
  <si>
    <t>p3</t>
  </si>
  <si>
    <t>r1</t>
  </si>
  <si>
    <t>r2</t>
  </si>
  <si>
    <t>r3</t>
  </si>
  <si>
    <t>r4</t>
  </si>
  <si>
    <t>r5</t>
  </si>
  <si>
    <t>r6</t>
  </si>
  <si>
    <t>m1</t>
  </si>
  <si>
    <t>m2</t>
  </si>
  <si>
    <t>GERAL</t>
  </si>
  <si>
    <t>name</t>
  </si>
  <si>
    <t>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</si>
</sst>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Times New Roman"/>
      <family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2" fontId="2" fillId="0" borderId="1" xfId="0" applyNumberFormat="1" applyFont="1" applyBorder="1"/>
    <xf numFmtId="2" fontId="2" fillId="0" borderId="0" xfId="0" applyNumberFormat="1" applyFont="1"/>
    <xf numFmtId="2" fontId="2" fillId="0" borderId="2" xfId="0" applyNumberFormat="1" applyFont="1" applyBorder="1"/>
    <xf numFmtId="0" fontId="0" fillId="0" borderId="1" xfId="0" applyBorder="1"/>
    <xf numFmtId="1" fontId="2" fillId="0" borderId="1" xfId="0" applyNumberFormat="1" applyFont="1" applyBorder="1"/>
    <xf numFmtId="1" fontId="0" fillId="0" borderId="0" xfId="0" applyNumberFormat="1"/>
    <xf numFmtId="1" fontId="2" fillId="0" borderId="0" xfId="0" applyNumberFormat="1" applyFont="1"/>
    <xf numFmtId="1" fontId="2" fillId="0" borderId="2" xfId="0" applyNumberFormat="1" applyFont="1" applyBorder="1"/>
    <xf numFmtId="1" fontId="0" fillId="0" borderId="1" xfId="0" applyNumberForma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/>
    <xf numFmtId="2" fontId="6" fillId="0" borderId="0" xfId="0" applyNumberFormat="1" applyFont="1"/>
    <xf numFmtId="2" fontId="6" fillId="0" borderId="2" xfId="0" applyNumberFormat="1" applyFont="1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6C27-13C0-49D1-9078-79ABF4ECA27F}">
  <dimension ref="A1:M40"/>
  <sheetViews>
    <sheetView tabSelected="1" workbookViewId="0">
      <selection activeCell="O31" sqref="O31"/>
    </sheetView>
  </sheetViews>
  <sheetFormatPr defaultRowHeight="15" x14ac:dyDescent="0.25"/>
  <cols>
    <col min="1" max="1" width="18.5703125" bestFit="1" customWidth="1"/>
    <col min="2" max="2" width="18.5703125" customWidth="1"/>
  </cols>
  <sheetData>
    <row r="1" spans="1:13" x14ac:dyDescent="0.25">
      <c r="A1" s="10" t="s">
        <v>128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</row>
    <row r="2" spans="1:13" x14ac:dyDescent="0.25">
      <c r="C2" t="s">
        <v>149</v>
      </c>
      <c r="D2" t="s">
        <v>150</v>
      </c>
      <c r="E2" t="s">
        <v>151</v>
      </c>
      <c r="F2" t="s">
        <v>155</v>
      </c>
      <c r="G2" t="s">
        <v>152</v>
      </c>
      <c r="H2" t="s">
        <v>153</v>
      </c>
      <c r="I2" t="s">
        <v>154</v>
      </c>
      <c r="J2" t="s">
        <v>146</v>
      </c>
      <c r="K2" t="s">
        <v>156</v>
      </c>
      <c r="L2" t="s">
        <v>147</v>
      </c>
      <c r="M2" t="s">
        <v>148</v>
      </c>
    </row>
    <row r="3" spans="1:13" x14ac:dyDescent="0.25">
      <c r="A3" t="s">
        <v>135</v>
      </c>
      <c r="B3" t="s">
        <v>149</v>
      </c>
      <c r="C3">
        <v>0</v>
      </c>
      <c r="D3">
        <v>0</v>
      </c>
      <c r="E3">
        <v>0</v>
      </c>
      <c r="F3">
        <v>100</v>
      </c>
      <c r="G3">
        <v>0</v>
      </c>
      <c r="H3">
        <v>0</v>
      </c>
      <c r="I3">
        <v>100</v>
      </c>
      <c r="J3" s="20">
        <v>11.4</v>
      </c>
      <c r="K3" s="20">
        <v>100</v>
      </c>
      <c r="L3" s="20">
        <v>12.139999999999999</v>
      </c>
      <c r="M3" s="20">
        <v>92</v>
      </c>
    </row>
    <row r="4" spans="1:13" x14ac:dyDescent="0.25">
      <c r="A4" t="s">
        <v>136</v>
      </c>
      <c r="B4" t="s">
        <v>150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s="20">
        <v>3.25</v>
      </c>
      <c r="K4" s="20">
        <v>0</v>
      </c>
      <c r="L4" s="20">
        <v>9.77</v>
      </c>
      <c r="M4" s="20">
        <v>5.6180000000000003</v>
      </c>
    </row>
    <row r="5" spans="1:13" x14ac:dyDescent="0.25">
      <c r="A5" t="s">
        <v>137</v>
      </c>
      <c r="B5" t="s">
        <v>151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20">
        <v>13.950000000000001</v>
      </c>
      <c r="K5" s="20">
        <v>0</v>
      </c>
      <c r="L5" s="20">
        <v>13.97</v>
      </c>
      <c r="M5" s="20">
        <v>0</v>
      </c>
    </row>
    <row r="6" spans="1:13" x14ac:dyDescent="0.25">
      <c r="A6" t="s">
        <v>138</v>
      </c>
      <c r="B6" t="s">
        <v>155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20">
        <v>19</v>
      </c>
      <c r="K6" s="20">
        <v>0</v>
      </c>
      <c r="L6" s="20">
        <v>26.089999999999996</v>
      </c>
      <c r="M6" s="20">
        <v>2.3831519999999999</v>
      </c>
    </row>
    <row r="7" spans="1:13" x14ac:dyDescent="0.25">
      <c r="A7" t="s">
        <v>139</v>
      </c>
      <c r="B7" t="s">
        <v>152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20">
        <v>10.97</v>
      </c>
      <c r="K7" s="20">
        <v>0</v>
      </c>
      <c r="L7" s="20">
        <v>9</v>
      </c>
      <c r="M7" s="20">
        <v>0</v>
      </c>
    </row>
    <row r="8" spans="1:13" x14ac:dyDescent="0.25">
      <c r="A8" t="s">
        <v>140</v>
      </c>
      <c r="B8" t="s">
        <v>153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s="20">
        <v>28.96</v>
      </c>
      <c r="K8" s="20">
        <v>0</v>
      </c>
      <c r="L8" s="20">
        <v>6.54</v>
      </c>
      <c r="M8" s="20">
        <v>0</v>
      </c>
    </row>
    <row r="9" spans="1:13" x14ac:dyDescent="0.25">
      <c r="A9" t="s">
        <v>141</v>
      </c>
      <c r="B9" t="s">
        <v>154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s="20">
        <v>0</v>
      </c>
      <c r="K9" s="20">
        <v>0</v>
      </c>
      <c r="L9" s="20">
        <v>11.09</v>
      </c>
      <c r="M9" s="20">
        <v>0</v>
      </c>
    </row>
    <row r="10" spans="1:13" x14ac:dyDescent="0.25">
      <c r="A10" t="s">
        <v>142</v>
      </c>
      <c r="B10" t="s">
        <v>146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20">
        <v>0</v>
      </c>
      <c r="K10" s="20">
        <v>0</v>
      </c>
      <c r="L10" s="20">
        <v>0</v>
      </c>
      <c r="M10" s="20">
        <v>0</v>
      </c>
    </row>
    <row r="11" spans="1:13" x14ac:dyDescent="0.25">
      <c r="A11" t="s">
        <v>143</v>
      </c>
      <c r="B11" t="s">
        <v>156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s="20">
        <v>11.58</v>
      </c>
      <c r="K11" s="20">
        <v>0</v>
      </c>
      <c r="L11" s="20">
        <v>11.35</v>
      </c>
      <c r="M11" s="20">
        <v>0</v>
      </c>
    </row>
    <row r="12" spans="1:13" x14ac:dyDescent="0.25">
      <c r="A12" t="s">
        <v>144</v>
      </c>
      <c r="B12" t="s">
        <v>147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s="20">
        <v>0</v>
      </c>
      <c r="K12" s="20">
        <v>0</v>
      </c>
      <c r="L12" s="20">
        <v>0</v>
      </c>
      <c r="M12" s="20">
        <v>0</v>
      </c>
    </row>
    <row r="13" spans="1:13" x14ac:dyDescent="0.25">
      <c r="A13" t="s">
        <v>145</v>
      </c>
      <c r="B13" t="s">
        <v>148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s="20">
        <v>0</v>
      </c>
      <c r="K13" s="20">
        <v>0</v>
      </c>
      <c r="L13" s="20">
        <v>0</v>
      </c>
      <c r="M13" s="20">
        <v>0</v>
      </c>
    </row>
    <row r="15" spans="1:13" x14ac:dyDescent="0.25">
      <c r="A15" s="10" t="s">
        <v>157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145</v>
      </c>
    </row>
    <row r="16" spans="1:13" x14ac:dyDescent="0.25">
      <c r="C16" t="s">
        <v>149</v>
      </c>
      <c r="D16" t="s">
        <v>150</v>
      </c>
      <c r="E16" t="s">
        <v>151</v>
      </c>
      <c r="F16" t="s">
        <v>155</v>
      </c>
      <c r="G16" t="s">
        <v>152</v>
      </c>
      <c r="H16" t="s">
        <v>153</v>
      </c>
      <c r="I16" t="s">
        <v>154</v>
      </c>
      <c r="J16" t="s">
        <v>146</v>
      </c>
      <c r="K16" t="s">
        <v>156</v>
      </c>
      <c r="L16" t="s">
        <v>147</v>
      </c>
      <c r="M16" t="s">
        <v>148</v>
      </c>
    </row>
    <row r="17" spans="1:13" x14ac:dyDescent="0.25">
      <c r="A17" t="s">
        <v>135</v>
      </c>
      <c r="B17" t="s">
        <v>149</v>
      </c>
      <c r="C17">
        <v>0</v>
      </c>
      <c r="D17">
        <v>0</v>
      </c>
      <c r="E17">
        <v>0</v>
      </c>
      <c r="F17">
        <v>115</v>
      </c>
      <c r="G17">
        <v>0</v>
      </c>
      <c r="H17">
        <v>0</v>
      </c>
      <c r="I17">
        <v>10</v>
      </c>
      <c r="J17" s="22">
        <v>104</v>
      </c>
      <c r="K17" s="22">
        <v>50</v>
      </c>
      <c r="L17" s="22">
        <v>6</v>
      </c>
      <c r="M17" s="22">
        <v>5526</v>
      </c>
    </row>
    <row r="18" spans="1:13" x14ac:dyDescent="0.25">
      <c r="A18" t="s">
        <v>136</v>
      </c>
      <c r="B18" t="s">
        <v>150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s="22">
        <v>8</v>
      </c>
      <c r="K18" s="22">
        <v>0</v>
      </c>
      <c r="L18" s="22">
        <v>2</v>
      </c>
      <c r="M18" s="22">
        <v>8</v>
      </c>
    </row>
    <row r="19" spans="1:13" x14ac:dyDescent="0.25">
      <c r="A19" t="s">
        <v>137</v>
      </c>
      <c r="B19" t="s">
        <v>151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s="22">
        <v>11</v>
      </c>
      <c r="K19" s="22">
        <v>0</v>
      </c>
      <c r="L19" s="22">
        <v>3</v>
      </c>
      <c r="M19" s="22">
        <v>0</v>
      </c>
    </row>
    <row r="20" spans="1:13" x14ac:dyDescent="0.25">
      <c r="A20" t="s">
        <v>138</v>
      </c>
      <c r="B20" t="s">
        <v>155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s="22">
        <v>59</v>
      </c>
      <c r="K20" s="22">
        <v>0</v>
      </c>
      <c r="L20" s="22">
        <v>7</v>
      </c>
      <c r="M20" s="22">
        <v>1</v>
      </c>
    </row>
    <row r="21" spans="1:13" x14ac:dyDescent="0.25">
      <c r="A21" t="s">
        <v>139</v>
      </c>
      <c r="B21" t="s">
        <v>152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22">
        <v>15</v>
      </c>
      <c r="K21" s="22">
        <v>0</v>
      </c>
      <c r="L21" s="22">
        <v>1</v>
      </c>
      <c r="M21" s="22">
        <v>0</v>
      </c>
    </row>
    <row r="22" spans="1:13" x14ac:dyDescent="0.25">
      <c r="A22" t="s">
        <v>140</v>
      </c>
      <c r="B22" t="s">
        <v>153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s="22">
        <v>44</v>
      </c>
      <c r="K22" s="22">
        <v>0</v>
      </c>
      <c r="L22" s="22">
        <v>0</v>
      </c>
      <c r="M22" s="22">
        <v>0</v>
      </c>
    </row>
    <row r="23" spans="1:13" x14ac:dyDescent="0.25">
      <c r="A23" t="s">
        <v>141</v>
      </c>
      <c r="B23" t="s">
        <v>154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s="22">
        <v>0</v>
      </c>
      <c r="K23" s="22">
        <v>0</v>
      </c>
      <c r="L23" s="22">
        <v>1</v>
      </c>
      <c r="M23" s="22">
        <v>0</v>
      </c>
    </row>
    <row r="24" spans="1:13" x14ac:dyDescent="0.25">
      <c r="A24" t="s">
        <v>142</v>
      </c>
      <c r="B24" t="s">
        <v>146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s="22">
        <v>0</v>
      </c>
      <c r="K24" s="22">
        <v>0</v>
      </c>
      <c r="L24" s="22">
        <v>0</v>
      </c>
      <c r="M24" s="22">
        <v>0</v>
      </c>
    </row>
    <row r="25" spans="1:13" x14ac:dyDescent="0.25">
      <c r="A25" t="s">
        <v>143</v>
      </c>
      <c r="B25" t="s">
        <v>156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s="22">
        <v>15</v>
      </c>
      <c r="K25" s="22">
        <v>0</v>
      </c>
      <c r="L25" s="22">
        <v>2</v>
      </c>
      <c r="M25" s="22">
        <v>0</v>
      </c>
    </row>
    <row r="26" spans="1:13" x14ac:dyDescent="0.25">
      <c r="A26" t="s">
        <v>144</v>
      </c>
      <c r="B26" t="s">
        <v>147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s="22">
        <v>0</v>
      </c>
      <c r="K26" s="22">
        <v>0</v>
      </c>
      <c r="L26" s="22">
        <v>0</v>
      </c>
      <c r="M26" s="22">
        <v>0</v>
      </c>
    </row>
    <row r="27" spans="1:13" x14ac:dyDescent="0.25">
      <c r="A27" t="s">
        <v>145</v>
      </c>
      <c r="B27" t="s">
        <v>148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s="22">
        <v>0</v>
      </c>
      <c r="K27" s="22">
        <v>0</v>
      </c>
      <c r="L27" s="22">
        <v>0</v>
      </c>
      <c r="M27" s="22">
        <v>0</v>
      </c>
    </row>
    <row r="29" spans="1:13" x14ac:dyDescent="0.25">
      <c r="A29" t="s">
        <v>158</v>
      </c>
      <c r="B29" t="s">
        <v>159</v>
      </c>
    </row>
    <row r="30" spans="1:13" x14ac:dyDescent="0.25">
      <c r="A30" t="s">
        <v>135</v>
      </c>
      <c r="B30" t="s">
        <v>149</v>
      </c>
    </row>
    <row r="31" spans="1:13" x14ac:dyDescent="0.25">
      <c r="A31" t="s">
        <v>136</v>
      </c>
      <c r="B31" t="s">
        <v>150</v>
      </c>
    </row>
    <row r="32" spans="1:13" x14ac:dyDescent="0.25">
      <c r="A32" t="s">
        <v>137</v>
      </c>
      <c r="B32" t="s">
        <v>151</v>
      </c>
    </row>
    <row r="33" spans="1:2" x14ac:dyDescent="0.25">
      <c r="A33" t="s">
        <v>138</v>
      </c>
      <c r="B33" t="s">
        <v>155</v>
      </c>
    </row>
    <row r="34" spans="1:2" x14ac:dyDescent="0.25">
      <c r="A34" t="s">
        <v>139</v>
      </c>
      <c r="B34" t="s">
        <v>152</v>
      </c>
    </row>
    <row r="35" spans="1:2" x14ac:dyDescent="0.25">
      <c r="A35" t="s">
        <v>140</v>
      </c>
      <c r="B35" t="s">
        <v>153</v>
      </c>
    </row>
    <row r="36" spans="1:2" x14ac:dyDescent="0.25">
      <c r="A36" t="s">
        <v>141</v>
      </c>
      <c r="B36" t="s">
        <v>154</v>
      </c>
    </row>
    <row r="37" spans="1:2" x14ac:dyDescent="0.25">
      <c r="A37" t="s">
        <v>142</v>
      </c>
      <c r="B37" t="s">
        <v>146</v>
      </c>
    </row>
    <row r="38" spans="1:2" x14ac:dyDescent="0.25">
      <c r="A38" t="s">
        <v>143</v>
      </c>
      <c r="B38" t="s">
        <v>156</v>
      </c>
    </row>
    <row r="39" spans="1:2" x14ac:dyDescent="0.25">
      <c r="A39" t="s">
        <v>144</v>
      </c>
      <c r="B39" t="s">
        <v>147</v>
      </c>
    </row>
    <row r="40" spans="1:2" x14ac:dyDescent="0.25">
      <c r="A40" t="s">
        <v>145</v>
      </c>
      <c r="B40" t="s">
        <v>148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51DE-29B9-4CC1-ABE3-605ABD18B381}">
  <dimension ref="A1:M25"/>
  <sheetViews>
    <sheetView workbookViewId="0">
      <selection activeCell="L19" sqref="L19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" bestFit="1" customWidth="1"/>
    <col min="4" max="4" width="16.5703125" bestFit="1" customWidth="1"/>
    <col min="5" max="5" width="7.42578125" bestFit="1" customWidth="1"/>
    <col min="8" max="8" width="11.42578125" bestFit="1" customWidth="1"/>
    <col min="9" max="9" width="11.42578125" customWidth="1"/>
  </cols>
  <sheetData>
    <row r="1" spans="1:13" x14ac:dyDescent="0.25">
      <c r="B1" t="s">
        <v>110</v>
      </c>
      <c r="C1" t="s">
        <v>111</v>
      </c>
      <c r="D1" t="s">
        <v>112</v>
      </c>
      <c r="E1" t="s">
        <v>109</v>
      </c>
      <c r="J1" t="s">
        <v>110</v>
      </c>
      <c r="K1" t="s">
        <v>111</v>
      </c>
      <c r="L1" t="s">
        <v>112</v>
      </c>
      <c r="M1" t="s">
        <v>109</v>
      </c>
    </row>
    <row r="2" spans="1:13" x14ac:dyDescent="0.25">
      <c r="A2" t="s">
        <v>135</v>
      </c>
      <c r="B2" s="20">
        <v>11.4</v>
      </c>
      <c r="C2" s="20">
        <v>39.408000000000001</v>
      </c>
      <c r="D2" s="20">
        <v>12.139999999999999</v>
      </c>
      <c r="E2" s="20">
        <v>92</v>
      </c>
      <c r="H2" s="12" t="s">
        <v>134</v>
      </c>
      <c r="I2" s="12"/>
      <c r="J2">
        <v>7.88</v>
      </c>
      <c r="K2">
        <v>0</v>
      </c>
      <c r="L2">
        <v>2.12</v>
      </c>
      <c r="M2" s="1">
        <v>82.046181500000003</v>
      </c>
    </row>
    <row r="3" spans="1:13" x14ac:dyDescent="0.25">
      <c r="A3" t="s">
        <v>136</v>
      </c>
      <c r="B3" s="20">
        <v>3.25</v>
      </c>
      <c r="C3" s="20">
        <v>0</v>
      </c>
      <c r="D3" s="20">
        <v>9.77</v>
      </c>
      <c r="E3" s="20">
        <v>5.6180000000000003</v>
      </c>
      <c r="H3" s="11" t="s">
        <v>130</v>
      </c>
      <c r="I3" s="11"/>
      <c r="J3">
        <v>1.51</v>
      </c>
      <c r="K3">
        <v>0</v>
      </c>
      <c r="L3">
        <v>0.04</v>
      </c>
      <c r="M3" s="1">
        <v>4.4580000000000002</v>
      </c>
    </row>
    <row r="4" spans="1:13" x14ac:dyDescent="0.25">
      <c r="A4" t="s">
        <v>59</v>
      </c>
      <c r="B4" s="20">
        <v>13.950000000000001</v>
      </c>
      <c r="C4" s="20">
        <v>0</v>
      </c>
      <c r="D4" s="20">
        <v>13.97</v>
      </c>
      <c r="E4" s="20">
        <v>0</v>
      </c>
      <c r="H4" s="13" t="s">
        <v>131</v>
      </c>
      <c r="I4" s="13"/>
      <c r="J4">
        <v>0.31</v>
      </c>
      <c r="K4">
        <v>0</v>
      </c>
      <c r="L4">
        <v>0.04</v>
      </c>
      <c r="M4">
        <v>0</v>
      </c>
    </row>
    <row r="5" spans="1:13" x14ac:dyDescent="0.25">
      <c r="A5" t="s">
        <v>55</v>
      </c>
      <c r="B5" s="20">
        <v>19</v>
      </c>
      <c r="C5" s="20">
        <v>60.588000000000001</v>
      </c>
      <c r="D5" s="20">
        <v>26.089999999999996</v>
      </c>
      <c r="E5" s="20">
        <v>2.3831519999999999</v>
      </c>
      <c r="H5" s="14" t="s">
        <v>132</v>
      </c>
      <c r="I5" s="14"/>
      <c r="J5">
        <v>2.7</v>
      </c>
      <c r="K5">
        <v>0</v>
      </c>
      <c r="L5">
        <v>3.27</v>
      </c>
      <c r="M5" s="1">
        <v>5.6180000000000003</v>
      </c>
    </row>
    <row r="6" spans="1:13" x14ac:dyDescent="0.25">
      <c r="A6" t="s">
        <v>113</v>
      </c>
      <c r="B6" s="20">
        <v>11.58</v>
      </c>
      <c r="C6" s="20">
        <v>0</v>
      </c>
      <c r="D6" s="20">
        <v>11.35</v>
      </c>
      <c r="E6" s="20">
        <v>0</v>
      </c>
      <c r="H6" s="15" t="s">
        <v>133</v>
      </c>
      <c r="I6" s="15"/>
      <c r="J6">
        <v>0.13</v>
      </c>
      <c r="K6">
        <v>15.228</v>
      </c>
      <c r="L6">
        <v>0.04</v>
      </c>
      <c r="M6">
        <v>5.4980000000000002</v>
      </c>
    </row>
    <row r="7" spans="1:13" x14ac:dyDescent="0.25">
      <c r="A7" t="s">
        <v>47</v>
      </c>
      <c r="B7" s="20">
        <v>10.97</v>
      </c>
      <c r="C7" s="20">
        <v>0</v>
      </c>
      <c r="D7" s="20">
        <v>9</v>
      </c>
      <c r="E7" s="20">
        <v>0</v>
      </c>
      <c r="H7" t="s">
        <v>114</v>
      </c>
      <c r="J7">
        <v>0</v>
      </c>
      <c r="K7">
        <v>0</v>
      </c>
      <c r="L7">
        <v>4.59</v>
      </c>
      <c r="M7">
        <v>0</v>
      </c>
    </row>
    <row r="8" spans="1:13" x14ac:dyDescent="0.25">
      <c r="A8" t="s">
        <v>122</v>
      </c>
      <c r="B8" s="20">
        <v>28.96</v>
      </c>
      <c r="C8" s="20">
        <v>0</v>
      </c>
      <c r="D8" s="20">
        <v>6.54</v>
      </c>
      <c r="E8" s="20">
        <v>0</v>
      </c>
      <c r="H8" t="s">
        <v>123</v>
      </c>
      <c r="J8">
        <v>0</v>
      </c>
      <c r="K8">
        <v>22.698</v>
      </c>
      <c r="L8">
        <v>0.04</v>
      </c>
      <c r="M8" s="1">
        <v>0</v>
      </c>
    </row>
    <row r="9" spans="1:13" x14ac:dyDescent="0.25">
      <c r="A9" t="s">
        <v>114</v>
      </c>
      <c r="B9" s="20">
        <v>0</v>
      </c>
      <c r="C9" s="20">
        <v>0</v>
      </c>
      <c r="D9" s="20">
        <v>11.09</v>
      </c>
      <c r="E9" s="20">
        <v>0</v>
      </c>
      <c r="H9" t="s">
        <v>122</v>
      </c>
      <c r="J9">
        <v>28.41</v>
      </c>
      <c r="K9">
        <v>0</v>
      </c>
      <c r="L9">
        <v>0.04</v>
      </c>
      <c r="M9" s="1">
        <v>0</v>
      </c>
    </row>
    <row r="10" spans="1:13" x14ac:dyDescent="0.25">
      <c r="M10" s="1"/>
    </row>
    <row r="11" spans="1:13" x14ac:dyDescent="0.25">
      <c r="M11" s="2"/>
    </row>
    <row r="12" spans="1:13" x14ac:dyDescent="0.25">
      <c r="D12" s="21"/>
      <c r="H12" t="s">
        <v>113</v>
      </c>
      <c r="J12">
        <v>11.03</v>
      </c>
      <c r="K12">
        <v>0</v>
      </c>
      <c r="L12">
        <v>4.8499999999999996</v>
      </c>
      <c r="M12" s="2">
        <v>0</v>
      </c>
    </row>
    <row r="13" spans="1:13" x14ac:dyDescent="0.25">
      <c r="D13" s="21"/>
      <c r="H13" t="s">
        <v>59</v>
      </c>
      <c r="J13">
        <v>9</v>
      </c>
      <c r="K13">
        <v>0</v>
      </c>
      <c r="L13">
        <v>2.88</v>
      </c>
      <c r="M13" s="2">
        <v>0</v>
      </c>
    </row>
    <row r="14" spans="1:13" x14ac:dyDescent="0.25">
      <c r="C14">
        <f>100-63.72</f>
        <v>36.28</v>
      </c>
      <c r="D14" s="21">
        <f>36.28/2</f>
        <v>18.14</v>
      </c>
      <c r="H14" t="s">
        <v>106</v>
      </c>
      <c r="J14">
        <v>0</v>
      </c>
      <c r="K14">
        <v>10.428000000000001</v>
      </c>
      <c r="L14">
        <v>10</v>
      </c>
      <c r="M14" s="2">
        <v>0</v>
      </c>
    </row>
    <row r="15" spans="1:13" x14ac:dyDescent="0.25">
      <c r="A15" s="21">
        <f>C5+18.14</f>
        <v>78.728000000000009</v>
      </c>
      <c r="D15" s="21"/>
      <c r="H15" t="s">
        <v>55</v>
      </c>
      <c r="J15">
        <v>18.45</v>
      </c>
      <c r="K15">
        <v>36.408000000000001</v>
      </c>
      <c r="L15">
        <v>19.59</v>
      </c>
      <c r="M15" s="2">
        <v>2.3831519999999999</v>
      </c>
    </row>
    <row r="16" spans="1:13" x14ac:dyDescent="0.25">
      <c r="D16" s="21"/>
      <c r="M16" s="2"/>
    </row>
    <row r="17" spans="4:12" x14ac:dyDescent="0.25">
      <c r="D17" s="21"/>
      <c r="H17" t="s">
        <v>135</v>
      </c>
      <c r="I17" s="19">
        <v>11.4</v>
      </c>
      <c r="J17">
        <v>19.437999999999999</v>
      </c>
      <c r="K17">
        <v>10.309999999999999</v>
      </c>
      <c r="L17" s="2">
        <v>92</v>
      </c>
    </row>
    <row r="18" spans="4:12" x14ac:dyDescent="0.25">
      <c r="D18" s="21"/>
      <c r="H18" t="s">
        <v>136</v>
      </c>
      <c r="I18" s="19">
        <v>3.25</v>
      </c>
      <c r="K18">
        <v>7.9399999999999995</v>
      </c>
      <c r="L18" s="1">
        <v>5.6180000000000003</v>
      </c>
    </row>
    <row r="19" spans="4:12" x14ac:dyDescent="0.25">
      <c r="D19" s="21"/>
      <c r="H19" t="s">
        <v>59</v>
      </c>
      <c r="I19" s="19">
        <v>13.950000000000001</v>
      </c>
      <c r="K19">
        <v>12.14</v>
      </c>
      <c r="L19" s="17">
        <v>0</v>
      </c>
    </row>
    <row r="20" spans="4:12" x14ac:dyDescent="0.25">
      <c r="D20" s="21"/>
      <c r="H20" t="s">
        <v>55</v>
      </c>
      <c r="I20" s="19">
        <v>19</v>
      </c>
      <c r="J20">
        <v>40.618000000000002</v>
      </c>
      <c r="K20">
        <v>24.259999999999998</v>
      </c>
      <c r="L20" s="2">
        <v>2.3831519999999999</v>
      </c>
    </row>
    <row r="21" spans="4:12" x14ac:dyDescent="0.25">
      <c r="H21" t="s">
        <v>113</v>
      </c>
      <c r="I21" s="19">
        <v>11.58</v>
      </c>
      <c r="K21">
        <v>9.52</v>
      </c>
      <c r="L21" s="2">
        <v>0</v>
      </c>
    </row>
    <row r="22" spans="4:12" x14ac:dyDescent="0.25">
      <c r="H22" t="s">
        <v>47</v>
      </c>
      <c r="I22" s="19">
        <v>10.97</v>
      </c>
      <c r="K22">
        <v>7.17</v>
      </c>
      <c r="L22">
        <v>0</v>
      </c>
    </row>
    <row r="23" spans="4:12" x14ac:dyDescent="0.25">
      <c r="H23" t="s">
        <v>122</v>
      </c>
      <c r="I23" s="19">
        <v>28.96</v>
      </c>
      <c r="K23">
        <v>4.71</v>
      </c>
      <c r="L23" s="1">
        <v>0</v>
      </c>
    </row>
    <row r="24" spans="4:12" x14ac:dyDescent="0.25">
      <c r="H24" t="s">
        <v>114</v>
      </c>
      <c r="I24" s="19">
        <v>0.55000000000000004</v>
      </c>
      <c r="K24">
        <v>9.26</v>
      </c>
      <c r="L24">
        <v>0</v>
      </c>
    </row>
    <row r="25" spans="4:12" x14ac:dyDescent="0.25">
      <c r="I25" s="19"/>
      <c r="L25" s="2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C5D2-364E-4F39-8B38-EB2F3A699BBF}">
  <dimension ref="A1:E54"/>
  <sheetViews>
    <sheetView topLeftCell="A37" workbookViewId="0">
      <selection activeCell="A26" sqref="A26"/>
    </sheetView>
  </sheetViews>
  <sheetFormatPr defaultRowHeight="15" x14ac:dyDescent="0.25"/>
  <cols>
    <col min="1" max="1" width="17.710937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16</v>
      </c>
      <c r="E2">
        <v>25</v>
      </c>
    </row>
    <row r="3" spans="1:5" x14ac:dyDescent="0.25">
      <c r="A3" t="s">
        <v>41</v>
      </c>
      <c r="E3">
        <v>4</v>
      </c>
    </row>
    <row r="4" spans="1:5" x14ac:dyDescent="0.25">
      <c r="A4" t="s">
        <v>15</v>
      </c>
      <c r="E4">
        <v>71</v>
      </c>
    </row>
    <row r="5" spans="1:5" x14ac:dyDescent="0.25">
      <c r="A5" t="s">
        <v>5</v>
      </c>
      <c r="B5">
        <v>1</v>
      </c>
    </row>
    <row r="6" spans="1:5" x14ac:dyDescent="0.25">
      <c r="A6" t="s">
        <v>42</v>
      </c>
      <c r="D6">
        <v>3</v>
      </c>
    </row>
    <row r="7" spans="1:5" x14ac:dyDescent="0.25">
      <c r="A7" t="s">
        <v>22</v>
      </c>
      <c r="C7">
        <v>1</v>
      </c>
      <c r="E7">
        <v>14</v>
      </c>
    </row>
    <row r="8" spans="1:5" x14ac:dyDescent="0.25">
      <c r="A8" t="s">
        <v>8</v>
      </c>
      <c r="B8">
        <v>1</v>
      </c>
    </row>
    <row r="9" spans="1:5" x14ac:dyDescent="0.25">
      <c r="A9" t="s">
        <v>23</v>
      </c>
      <c r="C9">
        <v>44</v>
      </c>
    </row>
    <row r="10" spans="1:5" x14ac:dyDescent="0.25">
      <c r="A10" t="s">
        <v>25</v>
      </c>
      <c r="B10">
        <v>2</v>
      </c>
      <c r="C10">
        <v>1</v>
      </c>
      <c r="E10">
        <v>13</v>
      </c>
    </row>
    <row r="11" spans="1:5" x14ac:dyDescent="0.25">
      <c r="A11" t="s">
        <v>6</v>
      </c>
      <c r="B11">
        <v>2</v>
      </c>
      <c r="C11">
        <v>7</v>
      </c>
    </row>
    <row r="12" spans="1:5" x14ac:dyDescent="0.25">
      <c r="A12" t="s">
        <v>26</v>
      </c>
      <c r="B12">
        <v>2</v>
      </c>
    </row>
    <row r="13" spans="1:5" x14ac:dyDescent="0.25">
      <c r="A13" t="s">
        <v>10</v>
      </c>
      <c r="C13">
        <v>1</v>
      </c>
    </row>
    <row r="14" spans="1:5" x14ac:dyDescent="0.25">
      <c r="A14" t="s">
        <v>18</v>
      </c>
      <c r="E14">
        <v>3</v>
      </c>
    </row>
    <row r="15" spans="1:5" x14ac:dyDescent="0.25">
      <c r="A15" t="s">
        <v>13</v>
      </c>
      <c r="C15">
        <v>2</v>
      </c>
      <c r="E15">
        <v>2001</v>
      </c>
    </row>
    <row r="16" spans="1:5" x14ac:dyDescent="0.25">
      <c r="A16" t="s">
        <v>31</v>
      </c>
      <c r="E16">
        <v>61</v>
      </c>
    </row>
    <row r="17" spans="1:5" x14ac:dyDescent="0.25">
      <c r="A17" t="s">
        <v>38</v>
      </c>
      <c r="E17">
        <v>1</v>
      </c>
    </row>
    <row r="18" spans="1:5" x14ac:dyDescent="0.25">
      <c r="A18" t="s">
        <v>19</v>
      </c>
      <c r="E18">
        <v>170</v>
      </c>
    </row>
    <row r="19" spans="1:5" x14ac:dyDescent="0.25">
      <c r="A19" t="s">
        <v>12</v>
      </c>
      <c r="C19">
        <v>7</v>
      </c>
      <c r="E19">
        <v>126</v>
      </c>
    </row>
    <row r="20" spans="1:5" x14ac:dyDescent="0.25">
      <c r="A20" t="s">
        <v>14</v>
      </c>
      <c r="E20">
        <v>110</v>
      </c>
    </row>
    <row r="21" spans="1:5" x14ac:dyDescent="0.25">
      <c r="A21" t="s">
        <v>32</v>
      </c>
      <c r="E21">
        <v>578</v>
      </c>
    </row>
    <row r="22" spans="1:5" x14ac:dyDescent="0.25">
      <c r="A22" t="s">
        <v>37</v>
      </c>
      <c r="C22">
        <v>4</v>
      </c>
    </row>
    <row r="23" spans="1:5" x14ac:dyDescent="0.25">
      <c r="A23" t="s">
        <v>29</v>
      </c>
      <c r="C23">
        <v>82</v>
      </c>
      <c r="E23">
        <v>2934</v>
      </c>
    </row>
    <row r="24" spans="1:5" x14ac:dyDescent="0.25">
      <c r="A24" t="s">
        <v>43</v>
      </c>
      <c r="B24">
        <v>4</v>
      </c>
    </row>
    <row r="25" spans="1:5" x14ac:dyDescent="0.25">
      <c r="A25" t="s">
        <v>11</v>
      </c>
      <c r="C25">
        <v>6</v>
      </c>
    </row>
    <row r="26" spans="1:5" x14ac:dyDescent="0.25">
      <c r="A26" t="s">
        <v>44</v>
      </c>
      <c r="E26">
        <v>7</v>
      </c>
    </row>
    <row r="27" spans="1:5" x14ac:dyDescent="0.25">
      <c r="A27" t="s">
        <v>17</v>
      </c>
      <c r="E27">
        <v>20</v>
      </c>
    </row>
    <row r="28" spans="1:5" x14ac:dyDescent="0.25">
      <c r="A28" t="s">
        <v>9</v>
      </c>
      <c r="B28">
        <v>2</v>
      </c>
      <c r="E28">
        <v>100</v>
      </c>
    </row>
    <row r="29" spans="1:5" x14ac:dyDescent="0.25">
      <c r="A29" t="s">
        <v>40</v>
      </c>
      <c r="E29">
        <v>51</v>
      </c>
    </row>
    <row r="30" spans="1:5" x14ac:dyDescent="0.25">
      <c r="A30" t="s">
        <v>45</v>
      </c>
      <c r="E30">
        <v>11</v>
      </c>
    </row>
    <row r="31" spans="1:5" x14ac:dyDescent="0.25">
      <c r="A31" t="s">
        <v>46</v>
      </c>
      <c r="B31">
        <v>2</v>
      </c>
      <c r="C31">
        <v>5</v>
      </c>
      <c r="D31">
        <v>4</v>
      </c>
    </row>
    <row r="32" spans="1:5" x14ac:dyDescent="0.25">
      <c r="A32" t="s">
        <v>30</v>
      </c>
      <c r="E32">
        <v>2</v>
      </c>
    </row>
    <row r="33" spans="1:5" x14ac:dyDescent="0.25">
      <c r="A33" t="s">
        <v>28</v>
      </c>
      <c r="E33">
        <v>91</v>
      </c>
    </row>
    <row r="34" spans="1:5" x14ac:dyDescent="0.25">
      <c r="A34" t="s">
        <v>27</v>
      </c>
      <c r="D34">
        <v>46</v>
      </c>
    </row>
    <row r="35" spans="1:5" x14ac:dyDescent="0.25">
      <c r="A35" t="s">
        <v>47</v>
      </c>
      <c r="B35">
        <v>1</v>
      </c>
      <c r="C35">
        <v>15</v>
      </c>
    </row>
    <row r="36" spans="1:5" x14ac:dyDescent="0.25">
      <c r="A36" t="s">
        <v>33</v>
      </c>
      <c r="E36">
        <v>21</v>
      </c>
    </row>
    <row r="37" spans="1:5" x14ac:dyDescent="0.25">
      <c r="A37" t="s">
        <v>48</v>
      </c>
      <c r="B37">
        <v>2</v>
      </c>
      <c r="C37">
        <v>7</v>
      </c>
    </row>
    <row r="38" spans="1:5" x14ac:dyDescent="0.25">
      <c r="A38" t="s">
        <v>39</v>
      </c>
      <c r="E38">
        <v>241</v>
      </c>
    </row>
    <row r="39" spans="1:5" x14ac:dyDescent="0.25">
      <c r="A39" t="s">
        <v>49</v>
      </c>
      <c r="B39">
        <v>2</v>
      </c>
    </row>
    <row r="40" spans="1:5" x14ac:dyDescent="0.25">
      <c r="A40" t="s">
        <v>35</v>
      </c>
      <c r="B40">
        <v>4</v>
      </c>
    </row>
    <row r="41" spans="1:5" x14ac:dyDescent="0.25">
      <c r="A41" s="16" t="s">
        <v>50</v>
      </c>
      <c r="E41">
        <v>1</v>
      </c>
    </row>
    <row r="42" spans="1:5" x14ac:dyDescent="0.25">
      <c r="A42" t="s">
        <v>36</v>
      </c>
      <c r="E42">
        <v>2</v>
      </c>
    </row>
    <row r="43" spans="1:5" x14ac:dyDescent="0.25">
      <c r="A43" t="s">
        <v>20</v>
      </c>
      <c r="E43">
        <v>4</v>
      </c>
    </row>
    <row r="44" spans="1:5" x14ac:dyDescent="0.25">
      <c r="A44" t="s">
        <v>21</v>
      </c>
      <c r="E44">
        <v>1</v>
      </c>
    </row>
    <row r="45" spans="1:5" x14ac:dyDescent="0.25">
      <c r="A45" t="s">
        <v>24</v>
      </c>
      <c r="B45">
        <v>2</v>
      </c>
    </row>
    <row r="46" spans="1:5" x14ac:dyDescent="0.25">
      <c r="A46" t="s">
        <v>51</v>
      </c>
      <c r="B46">
        <v>2</v>
      </c>
      <c r="C46">
        <v>15</v>
      </c>
    </row>
    <row r="47" spans="1:5" x14ac:dyDescent="0.25">
      <c r="A47" t="s">
        <v>52</v>
      </c>
      <c r="D47">
        <v>6</v>
      </c>
    </row>
    <row r="48" spans="1:5" x14ac:dyDescent="0.25">
      <c r="A48" t="s">
        <v>53</v>
      </c>
      <c r="B48">
        <v>1</v>
      </c>
      <c r="C48">
        <v>11</v>
      </c>
    </row>
    <row r="49" spans="1:5" x14ac:dyDescent="0.25">
      <c r="A49" t="s">
        <v>54</v>
      </c>
      <c r="B49">
        <v>5</v>
      </c>
      <c r="C49">
        <v>119</v>
      </c>
      <c r="D49">
        <v>2</v>
      </c>
    </row>
    <row r="50" spans="1:5" x14ac:dyDescent="0.25">
      <c r="A50" t="s">
        <v>7</v>
      </c>
      <c r="B50">
        <v>5</v>
      </c>
    </row>
    <row r="51" spans="1:5" x14ac:dyDescent="0.25">
      <c r="A51" t="s">
        <v>4</v>
      </c>
      <c r="B51">
        <v>7</v>
      </c>
      <c r="E51">
        <v>1</v>
      </c>
    </row>
    <row r="52" spans="1:5" x14ac:dyDescent="0.25">
      <c r="A52" t="s">
        <v>55</v>
      </c>
      <c r="C52">
        <v>59</v>
      </c>
    </row>
    <row r="53" spans="1:5" x14ac:dyDescent="0.25">
      <c r="A53" t="s">
        <v>56</v>
      </c>
      <c r="B53">
        <v>1</v>
      </c>
      <c r="D53">
        <v>6</v>
      </c>
    </row>
    <row r="54" spans="1:5" x14ac:dyDescent="0.25">
      <c r="A54" t="s">
        <v>34</v>
      </c>
      <c r="B54">
        <v>1</v>
      </c>
    </row>
  </sheetData>
  <sortState xmlns:xlrd2="http://schemas.microsoft.com/office/spreadsheetml/2017/richdata2" ref="A2:E54">
    <sortCondition ref="A2:A54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A5B4-582E-4D15-B3A3-274DD3A1CDEC}">
  <dimension ref="A1:L40"/>
  <sheetViews>
    <sheetView workbookViewId="0">
      <selection sqref="A1:E1048576"/>
    </sheetView>
  </sheetViews>
  <sheetFormatPr defaultRowHeight="15" x14ac:dyDescent="0.25"/>
  <cols>
    <col min="1" max="1" width="39.42578125" bestFit="1" customWidth="1"/>
    <col min="3" max="3" width="11.5703125" customWidth="1"/>
    <col min="4" max="4" width="15.85546875" customWidth="1"/>
    <col min="8" max="8" width="19.140625" bestFit="1" customWidth="1"/>
    <col min="9" max="9" width="16.5703125" bestFit="1" customWidth="1"/>
    <col min="10" max="10" width="9.85546875" bestFit="1" customWidth="1"/>
    <col min="11" max="11" width="12" bestFit="1" customWidth="1"/>
    <col min="12" max="12" width="7.42578125" bestFit="1" customWidth="1"/>
  </cols>
  <sheetData>
    <row r="1" spans="1:12" x14ac:dyDescent="0.25">
      <c r="A1" s="10" t="s">
        <v>128</v>
      </c>
      <c r="B1" t="s">
        <v>110</v>
      </c>
      <c r="C1" t="s">
        <v>111</v>
      </c>
      <c r="D1" t="s">
        <v>112</v>
      </c>
      <c r="E1" t="s">
        <v>109</v>
      </c>
      <c r="H1" s="10" t="s">
        <v>129</v>
      </c>
      <c r="I1" t="s">
        <v>112</v>
      </c>
      <c r="J1" t="s">
        <v>110</v>
      </c>
      <c r="K1" t="s">
        <v>111</v>
      </c>
      <c r="L1" t="s">
        <v>109</v>
      </c>
    </row>
    <row r="2" spans="1:12" x14ac:dyDescent="0.25">
      <c r="A2" t="s">
        <v>16</v>
      </c>
      <c r="B2">
        <v>0</v>
      </c>
      <c r="C2">
        <v>0</v>
      </c>
      <c r="D2">
        <v>0</v>
      </c>
      <c r="E2" s="1">
        <v>1.5558974999999999</v>
      </c>
      <c r="H2" t="s">
        <v>16</v>
      </c>
      <c r="I2">
        <v>0</v>
      </c>
      <c r="J2">
        <v>0</v>
      </c>
      <c r="K2">
        <v>0</v>
      </c>
      <c r="L2" s="5">
        <v>25</v>
      </c>
    </row>
    <row r="3" spans="1:12" x14ac:dyDescent="0.25">
      <c r="A3" t="s">
        <v>15</v>
      </c>
      <c r="B3">
        <v>0</v>
      </c>
      <c r="C3">
        <v>0</v>
      </c>
      <c r="D3">
        <v>0</v>
      </c>
      <c r="E3" s="1">
        <v>1.559016</v>
      </c>
      <c r="H3" t="s">
        <v>15</v>
      </c>
      <c r="I3">
        <v>0</v>
      </c>
      <c r="J3">
        <v>0</v>
      </c>
      <c r="K3">
        <v>0</v>
      </c>
      <c r="L3" s="5">
        <v>71</v>
      </c>
    </row>
    <row r="4" spans="1:12" x14ac:dyDescent="0.25">
      <c r="A4" t="s">
        <v>114</v>
      </c>
      <c r="B4">
        <v>0</v>
      </c>
      <c r="C4">
        <v>0</v>
      </c>
      <c r="D4">
        <v>4.55</v>
      </c>
      <c r="E4">
        <v>0</v>
      </c>
      <c r="H4" t="s">
        <v>114</v>
      </c>
      <c r="I4">
        <v>1</v>
      </c>
      <c r="J4">
        <v>0</v>
      </c>
      <c r="K4">
        <v>0</v>
      </c>
      <c r="L4" s="6">
        <v>0</v>
      </c>
    </row>
    <row r="5" spans="1:12" x14ac:dyDescent="0.25">
      <c r="A5" t="s">
        <v>123</v>
      </c>
      <c r="B5">
        <v>0</v>
      </c>
      <c r="C5">
        <v>16.57</v>
      </c>
      <c r="D5">
        <v>0</v>
      </c>
      <c r="E5" s="1">
        <v>0</v>
      </c>
      <c r="H5" t="s">
        <v>123</v>
      </c>
      <c r="I5">
        <v>0</v>
      </c>
      <c r="J5">
        <v>0</v>
      </c>
      <c r="K5">
        <v>3</v>
      </c>
      <c r="L5" s="5">
        <v>0</v>
      </c>
    </row>
    <row r="6" spans="1:12" x14ac:dyDescent="0.25">
      <c r="A6" t="s">
        <v>22</v>
      </c>
      <c r="B6">
        <v>0.14000000000000001</v>
      </c>
      <c r="C6">
        <v>0</v>
      </c>
      <c r="D6">
        <v>0</v>
      </c>
      <c r="E6" s="2">
        <v>1.5612375000000001</v>
      </c>
      <c r="H6" t="s">
        <v>22</v>
      </c>
      <c r="I6">
        <v>0</v>
      </c>
      <c r="J6">
        <v>1</v>
      </c>
      <c r="K6">
        <v>0</v>
      </c>
      <c r="L6" s="5">
        <v>14</v>
      </c>
    </row>
    <row r="7" spans="1:12" x14ac:dyDescent="0.25">
      <c r="A7" t="s">
        <v>127</v>
      </c>
      <c r="B7">
        <v>0.16</v>
      </c>
      <c r="C7">
        <v>0</v>
      </c>
      <c r="D7">
        <v>0</v>
      </c>
      <c r="E7" s="1">
        <v>0</v>
      </c>
      <c r="H7" t="s">
        <v>127</v>
      </c>
      <c r="I7">
        <v>0</v>
      </c>
      <c r="J7">
        <v>1</v>
      </c>
      <c r="K7">
        <v>0</v>
      </c>
      <c r="L7" s="7">
        <v>0</v>
      </c>
    </row>
    <row r="8" spans="1:12" x14ac:dyDescent="0.25">
      <c r="A8" t="s">
        <v>122</v>
      </c>
      <c r="B8">
        <v>28.61</v>
      </c>
      <c r="C8">
        <v>0</v>
      </c>
      <c r="D8">
        <v>0</v>
      </c>
      <c r="E8" s="1">
        <v>0</v>
      </c>
      <c r="H8" t="s">
        <v>122</v>
      </c>
      <c r="I8">
        <v>0</v>
      </c>
      <c r="J8">
        <v>44</v>
      </c>
      <c r="K8">
        <v>0</v>
      </c>
      <c r="L8" s="5">
        <v>0</v>
      </c>
    </row>
    <row r="9" spans="1:12" x14ac:dyDescent="0.25">
      <c r="A9" t="s">
        <v>25</v>
      </c>
      <c r="B9">
        <v>0.33</v>
      </c>
      <c r="C9">
        <v>0</v>
      </c>
      <c r="D9">
        <v>1.62</v>
      </c>
      <c r="E9" s="1">
        <v>1.7163094999999999</v>
      </c>
      <c r="H9" t="s">
        <v>25</v>
      </c>
      <c r="I9">
        <v>2</v>
      </c>
      <c r="J9">
        <v>1</v>
      </c>
      <c r="K9">
        <v>0</v>
      </c>
      <c r="L9" s="5">
        <v>13</v>
      </c>
    </row>
    <row r="10" spans="1:12" x14ac:dyDescent="0.25">
      <c r="A10" t="s">
        <v>18</v>
      </c>
      <c r="B10">
        <v>0</v>
      </c>
      <c r="C10">
        <v>0</v>
      </c>
      <c r="D10">
        <v>0</v>
      </c>
      <c r="E10" s="1">
        <v>1.55644</v>
      </c>
      <c r="H10" t="s">
        <v>18</v>
      </c>
      <c r="I10">
        <v>0</v>
      </c>
      <c r="J10">
        <v>0</v>
      </c>
      <c r="K10">
        <v>0</v>
      </c>
      <c r="L10" s="5">
        <v>3</v>
      </c>
    </row>
    <row r="11" spans="1:12" x14ac:dyDescent="0.25">
      <c r="A11" t="s">
        <v>13</v>
      </c>
      <c r="B11">
        <v>0.28999999999999998</v>
      </c>
      <c r="C11">
        <v>0</v>
      </c>
      <c r="D11">
        <v>0</v>
      </c>
      <c r="E11" s="1">
        <v>35.430945999999999</v>
      </c>
      <c r="H11" t="s">
        <v>13</v>
      </c>
      <c r="I11">
        <v>0</v>
      </c>
      <c r="J11">
        <v>2</v>
      </c>
      <c r="K11">
        <v>0</v>
      </c>
      <c r="L11" s="5">
        <v>2001</v>
      </c>
    </row>
    <row r="12" spans="1:12" x14ac:dyDescent="0.25">
      <c r="A12" t="s">
        <v>121</v>
      </c>
      <c r="B12">
        <v>2.8</v>
      </c>
      <c r="C12">
        <v>0</v>
      </c>
      <c r="D12">
        <v>3.23</v>
      </c>
      <c r="E12" s="1">
        <v>1.6847989999999999</v>
      </c>
      <c r="H12" t="s">
        <v>121</v>
      </c>
      <c r="I12">
        <v>2</v>
      </c>
      <c r="J12">
        <v>7</v>
      </c>
      <c r="K12">
        <v>0</v>
      </c>
      <c r="L12" s="8">
        <v>1.6847989999999999</v>
      </c>
    </row>
    <row r="13" spans="1:12" x14ac:dyDescent="0.25">
      <c r="A13" t="s">
        <v>19</v>
      </c>
      <c r="B13">
        <v>0</v>
      </c>
      <c r="C13">
        <v>0</v>
      </c>
      <c r="D13">
        <v>0</v>
      </c>
      <c r="E13" s="3">
        <v>2.0325100000000003</v>
      </c>
      <c r="H13" t="s">
        <v>19</v>
      </c>
      <c r="I13">
        <v>0</v>
      </c>
      <c r="J13">
        <v>0</v>
      </c>
      <c r="K13">
        <v>0</v>
      </c>
      <c r="L13" s="5">
        <v>170</v>
      </c>
    </row>
    <row r="14" spans="1:12" x14ac:dyDescent="0.25">
      <c r="A14" t="s">
        <v>12</v>
      </c>
      <c r="B14">
        <v>1.52</v>
      </c>
      <c r="C14">
        <v>0</v>
      </c>
      <c r="D14">
        <v>0</v>
      </c>
      <c r="E14" s="1">
        <v>2.0762800000000001</v>
      </c>
      <c r="H14" t="s">
        <v>12</v>
      </c>
      <c r="I14">
        <v>0</v>
      </c>
      <c r="J14">
        <v>7</v>
      </c>
      <c r="K14">
        <v>0</v>
      </c>
      <c r="L14" s="8">
        <v>126</v>
      </c>
    </row>
    <row r="15" spans="1:12" x14ac:dyDescent="0.25">
      <c r="A15" t="s">
        <v>14</v>
      </c>
      <c r="B15">
        <v>0</v>
      </c>
      <c r="C15">
        <v>0</v>
      </c>
      <c r="D15">
        <v>0</v>
      </c>
      <c r="E15" s="3">
        <v>10.130000000000001</v>
      </c>
      <c r="H15" t="s">
        <v>14</v>
      </c>
      <c r="I15">
        <v>0</v>
      </c>
      <c r="J15">
        <v>0</v>
      </c>
      <c r="K15">
        <v>0</v>
      </c>
      <c r="L15" s="6">
        <v>684</v>
      </c>
    </row>
    <row r="16" spans="1:12" x14ac:dyDescent="0.25">
      <c r="A16" t="s">
        <v>37</v>
      </c>
      <c r="B16">
        <v>2.0099999999999998</v>
      </c>
      <c r="C16">
        <v>0</v>
      </c>
      <c r="D16">
        <v>0</v>
      </c>
      <c r="E16" s="3">
        <v>0</v>
      </c>
      <c r="H16" t="s">
        <v>37</v>
      </c>
      <c r="I16">
        <v>0</v>
      </c>
      <c r="J16">
        <v>4</v>
      </c>
      <c r="K16">
        <v>0</v>
      </c>
      <c r="L16" s="5">
        <v>0</v>
      </c>
    </row>
    <row r="17" spans="1:12" x14ac:dyDescent="0.25">
      <c r="A17" t="s">
        <v>29</v>
      </c>
      <c r="B17">
        <v>7.27</v>
      </c>
      <c r="C17">
        <v>0</v>
      </c>
      <c r="D17">
        <v>0</v>
      </c>
      <c r="E17" s="2">
        <v>21.51</v>
      </c>
      <c r="H17" t="s">
        <v>29</v>
      </c>
      <c r="I17">
        <v>0</v>
      </c>
      <c r="J17">
        <v>82</v>
      </c>
      <c r="K17">
        <v>0</v>
      </c>
      <c r="L17" s="7">
        <v>2934</v>
      </c>
    </row>
    <row r="18" spans="1:12" x14ac:dyDescent="0.25">
      <c r="A18" t="s">
        <v>108</v>
      </c>
      <c r="B18">
        <v>0</v>
      </c>
      <c r="C18">
        <v>0</v>
      </c>
      <c r="D18">
        <v>30.72</v>
      </c>
      <c r="E18" s="2">
        <v>0</v>
      </c>
      <c r="H18" t="s">
        <v>108</v>
      </c>
      <c r="I18">
        <v>15</v>
      </c>
      <c r="J18">
        <v>0</v>
      </c>
      <c r="K18">
        <v>0</v>
      </c>
      <c r="L18" s="5">
        <v>0</v>
      </c>
    </row>
    <row r="19" spans="1:12" x14ac:dyDescent="0.25">
      <c r="A19" t="s">
        <v>11</v>
      </c>
      <c r="B19">
        <v>0.77</v>
      </c>
      <c r="C19">
        <v>0</v>
      </c>
      <c r="D19">
        <v>0</v>
      </c>
      <c r="E19" s="1">
        <v>1.5595625</v>
      </c>
      <c r="H19" t="s">
        <v>11</v>
      </c>
      <c r="I19">
        <v>0</v>
      </c>
      <c r="J19">
        <v>6</v>
      </c>
      <c r="K19">
        <v>0</v>
      </c>
      <c r="L19" s="7">
        <v>11</v>
      </c>
    </row>
    <row r="20" spans="1:12" x14ac:dyDescent="0.25">
      <c r="A20" t="s">
        <v>40</v>
      </c>
      <c r="B20">
        <v>0</v>
      </c>
      <c r="C20">
        <v>0</v>
      </c>
      <c r="D20">
        <v>0</v>
      </c>
      <c r="E20" s="1">
        <v>0.85</v>
      </c>
      <c r="H20" t="s">
        <v>40</v>
      </c>
      <c r="I20">
        <v>0</v>
      </c>
      <c r="J20">
        <v>0</v>
      </c>
      <c r="K20">
        <v>0</v>
      </c>
      <c r="L20" s="7">
        <v>51</v>
      </c>
    </row>
    <row r="21" spans="1:12" x14ac:dyDescent="0.25">
      <c r="A21" t="s">
        <v>17</v>
      </c>
      <c r="B21">
        <v>0</v>
      </c>
      <c r="C21">
        <v>0</v>
      </c>
      <c r="D21">
        <v>0.46</v>
      </c>
      <c r="E21" s="4">
        <v>3.28</v>
      </c>
      <c r="H21" t="s">
        <v>17</v>
      </c>
      <c r="I21">
        <v>2</v>
      </c>
      <c r="J21">
        <v>0</v>
      </c>
      <c r="K21">
        <v>0</v>
      </c>
      <c r="L21" s="9">
        <v>120</v>
      </c>
    </row>
    <row r="22" spans="1:12" x14ac:dyDescent="0.25">
      <c r="A22" t="s">
        <v>30</v>
      </c>
      <c r="B22">
        <v>0</v>
      </c>
      <c r="C22">
        <v>0</v>
      </c>
      <c r="D22">
        <v>0</v>
      </c>
      <c r="E22" s="1">
        <v>1.5501119999999999</v>
      </c>
      <c r="H22" t="s">
        <v>30</v>
      </c>
      <c r="I22">
        <v>0</v>
      </c>
      <c r="J22">
        <v>0</v>
      </c>
      <c r="K22">
        <v>0</v>
      </c>
      <c r="L22" s="7">
        <v>2</v>
      </c>
    </row>
    <row r="23" spans="1:12" x14ac:dyDescent="0.25">
      <c r="A23" t="s">
        <v>28</v>
      </c>
      <c r="B23">
        <v>0</v>
      </c>
      <c r="C23">
        <v>0</v>
      </c>
      <c r="D23">
        <v>0</v>
      </c>
      <c r="E23" s="2">
        <v>1.560327</v>
      </c>
      <c r="H23" t="s">
        <v>28</v>
      </c>
      <c r="I23">
        <v>0</v>
      </c>
      <c r="J23">
        <v>0</v>
      </c>
      <c r="K23">
        <v>0</v>
      </c>
      <c r="L23" s="5">
        <v>91</v>
      </c>
    </row>
    <row r="24" spans="1:12" x14ac:dyDescent="0.25">
      <c r="A24" t="s">
        <v>126</v>
      </c>
      <c r="B24">
        <v>0</v>
      </c>
      <c r="C24">
        <v>9.1</v>
      </c>
      <c r="D24">
        <v>0</v>
      </c>
      <c r="E24" s="2">
        <v>0</v>
      </c>
      <c r="H24" t="s">
        <v>126</v>
      </c>
      <c r="I24">
        <v>0</v>
      </c>
      <c r="J24">
        <v>0</v>
      </c>
      <c r="K24">
        <v>46</v>
      </c>
      <c r="L24" s="5">
        <v>0</v>
      </c>
    </row>
    <row r="25" spans="1:12" x14ac:dyDescent="0.25">
      <c r="A25" t="s">
        <v>47</v>
      </c>
      <c r="B25">
        <v>10.62</v>
      </c>
      <c r="C25">
        <v>0</v>
      </c>
      <c r="D25">
        <v>2.46</v>
      </c>
      <c r="E25">
        <v>0</v>
      </c>
      <c r="H25" t="s">
        <v>47</v>
      </c>
      <c r="I25">
        <v>1</v>
      </c>
      <c r="J25">
        <v>15</v>
      </c>
      <c r="K25">
        <v>0</v>
      </c>
      <c r="L25" s="7">
        <v>0</v>
      </c>
    </row>
    <row r="26" spans="1:12" x14ac:dyDescent="0.25">
      <c r="A26" t="s">
        <v>33</v>
      </c>
      <c r="B26">
        <v>0</v>
      </c>
      <c r="C26">
        <v>0</v>
      </c>
      <c r="D26">
        <v>0</v>
      </c>
      <c r="E26" s="1">
        <v>1.600344</v>
      </c>
      <c r="H26" t="s">
        <v>33</v>
      </c>
      <c r="I26">
        <v>0</v>
      </c>
      <c r="J26">
        <v>0</v>
      </c>
      <c r="K26">
        <v>0</v>
      </c>
      <c r="L26" s="5">
        <v>21</v>
      </c>
    </row>
    <row r="27" spans="1:12" x14ac:dyDescent="0.25">
      <c r="A27" t="s">
        <v>124</v>
      </c>
      <c r="B27">
        <v>2.9</v>
      </c>
      <c r="C27">
        <v>0</v>
      </c>
      <c r="D27">
        <v>2.93</v>
      </c>
      <c r="E27" s="1">
        <v>0</v>
      </c>
      <c r="H27" t="s">
        <v>124</v>
      </c>
      <c r="I27">
        <v>2</v>
      </c>
      <c r="J27">
        <v>2</v>
      </c>
      <c r="K27">
        <v>0</v>
      </c>
      <c r="L27" s="7">
        <v>0</v>
      </c>
    </row>
    <row r="28" spans="1:12" x14ac:dyDescent="0.25">
      <c r="A28" t="s">
        <v>49</v>
      </c>
      <c r="B28">
        <v>4.5</v>
      </c>
      <c r="C28">
        <v>0</v>
      </c>
      <c r="D28">
        <v>4.55</v>
      </c>
      <c r="E28" s="2">
        <v>0</v>
      </c>
      <c r="H28" t="s">
        <v>49</v>
      </c>
      <c r="I28">
        <v>2</v>
      </c>
      <c r="J28">
        <v>2</v>
      </c>
      <c r="K28">
        <v>0</v>
      </c>
      <c r="L28" s="7">
        <v>0</v>
      </c>
    </row>
    <row r="29" spans="1:12" x14ac:dyDescent="0.25">
      <c r="A29" t="s">
        <v>36</v>
      </c>
      <c r="B29">
        <v>0</v>
      </c>
      <c r="C29">
        <v>0</v>
      </c>
      <c r="D29">
        <v>0</v>
      </c>
      <c r="E29" s="2">
        <v>1.5522500000000001</v>
      </c>
      <c r="H29" t="s">
        <v>36</v>
      </c>
      <c r="I29">
        <v>0</v>
      </c>
      <c r="J29">
        <v>0</v>
      </c>
      <c r="K29">
        <v>0</v>
      </c>
      <c r="L29" s="5">
        <v>2</v>
      </c>
    </row>
    <row r="30" spans="1:12" x14ac:dyDescent="0.25">
      <c r="A30" t="s">
        <v>61</v>
      </c>
      <c r="B30">
        <v>0</v>
      </c>
      <c r="C30">
        <v>0</v>
      </c>
      <c r="D30">
        <v>0</v>
      </c>
      <c r="E30" s="1">
        <v>1.557633</v>
      </c>
      <c r="H30" t="s">
        <v>61</v>
      </c>
      <c r="I30">
        <v>0</v>
      </c>
      <c r="J30">
        <v>0</v>
      </c>
      <c r="K30">
        <v>0</v>
      </c>
      <c r="L30" s="7">
        <v>4</v>
      </c>
    </row>
    <row r="31" spans="1:12" x14ac:dyDescent="0.25">
      <c r="A31" t="s">
        <v>120</v>
      </c>
      <c r="B31">
        <v>0</v>
      </c>
      <c r="C31">
        <v>0</v>
      </c>
      <c r="D31">
        <v>0</v>
      </c>
      <c r="E31" s="2">
        <v>1.5501119999999999</v>
      </c>
      <c r="H31" t="s">
        <v>120</v>
      </c>
      <c r="I31">
        <v>0</v>
      </c>
      <c r="J31">
        <v>0</v>
      </c>
      <c r="K31">
        <v>0</v>
      </c>
      <c r="L31" s="7">
        <v>1</v>
      </c>
    </row>
    <row r="32" spans="1:12" x14ac:dyDescent="0.25">
      <c r="A32" t="s">
        <v>113</v>
      </c>
      <c r="B32">
        <v>11.03</v>
      </c>
      <c r="C32">
        <v>0</v>
      </c>
      <c r="D32">
        <v>4.8099999999999996</v>
      </c>
      <c r="E32" s="2">
        <v>0</v>
      </c>
      <c r="H32" t="s">
        <v>113</v>
      </c>
      <c r="I32">
        <v>2</v>
      </c>
      <c r="J32">
        <v>15</v>
      </c>
      <c r="K32">
        <v>0</v>
      </c>
      <c r="L32" s="7">
        <v>0</v>
      </c>
    </row>
    <row r="33" spans="1:12" ht="15.6" customHeight="1" x14ac:dyDescent="0.25">
      <c r="A33" t="s">
        <v>59</v>
      </c>
      <c r="B33">
        <v>10</v>
      </c>
      <c r="C33">
        <v>0</v>
      </c>
      <c r="D33">
        <v>2.84</v>
      </c>
      <c r="E33" s="2">
        <v>0</v>
      </c>
      <c r="H33" t="s">
        <v>59</v>
      </c>
      <c r="I33">
        <v>1</v>
      </c>
      <c r="J33">
        <v>11</v>
      </c>
      <c r="K33">
        <v>0</v>
      </c>
      <c r="L33" s="7">
        <v>0</v>
      </c>
    </row>
    <row r="34" spans="1:12" x14ac:dyDescent="0.25">
      <c r="A34" t="s">
        <v>106</v>
      </c>
      <c r="B34">
        <v>0</v>
      </c>
      <c r="C34">
        <v>4.3</v>
      </c>
      <c r="D34">
        <v>9.9600000000000009</v>
      </c>
      <c r="E34" s="2">
        <v>0</v>
      </c>
      <c r="H34" t="s">
        <v>106</v>
      </c>
      <c r="I34">
        <v>5</v>
      </c>
      <c r="J34">
        <v>0</v>
      </c>
      <c r="K34">
        <v>119</v>
      </c>
      <c r="L34" s="7">
        <v>0</v>
      </c>
    </row>
    <row r="35" spans="1:12" x14ac:dyDescent="0.25">
      <c r="A35" t="s">
        <v>55</v>
      </c>
      <c r="B35">
        <v>18.850000000000001</v>
      </c>
      <c r="C35">
        <v>30.28</v>
      </c>
      <c r="D35">
        <v>19.55</v>
      </c>
      <c r="E35" s="2">
        <v>1.5551520000000001</v>
      </c>
      <c r="H35" t="s">
        <v>55</v>
      </c>
      <c r="I35">
        <v>7</v>
      </c>
      <c r="J35">
        <v>59</v>
      </c>
      <c r="K35">
        <v>5</v>
      </c>
      <c r="L35" s="7">
        <v>1</v>
      </c>
    </row>
    <row r="36" spans="1:12" x14ac:dyDescent="0.25">
      <c r="A36" t="s">
        <v>115</v>
      </c>
      <c r="B36">
        <v>1.1499999999999999</v>
      </c>
      <c r="C36">
        <v>9.61</v>
      </c>
      <c r="D36">
        <v>3.36</v>
      </c>
      <c r="E36" s="2">
        <v>0</v>
      </c>
      <c r="H36" t="s">
        <v>115</v>
      </c>
      <c r="I36">
        <v>2</v>
      </c>
      <c r="J36">
        <v>5</v>
      </c>
      <c r="K36">
        <v>4</v>
      </c>
      <c r="L36" s="7">
        <v>0</v>
      </c>
    </row>
    <row r="37" spans="1:12" x14ac:dyDescent="0.25">
      <c r="A37" t="s">
        <v>118</v>
      </c>
      <c r="B37">
        <v>0</v>
      </c>
      <c r="C37">
        <v>0</v>
      </c>
      <c r="D37">
        <v>8.33</v>
      </c>
      <c r="E37" s="2">
        <v>0</v>
      </c>
      <c r="H37" t="s">
        <v>118</v>
      </c>
      <c r="I37">
        <v>4</v>
      </c>
      <c r="J37">
        <v>0</v>
      </c>
      <c r="K37">
        <v>0</v>
      </c>
      <c r="L37" s="7">
        <v>0</v>
      </c>
    </row>
    <row r="38" spans="1:12" x14ac:dyDescent="0.25">
      <c r="A38" t="s">
        <v>125</v>
      </c>
      <c r="B38">
        <v>0</v>
      </c>
      <c r="C38">
        <v>30.64</v>
      </c>
      <c r="D38">
        <v>0.64</v>
      </c>
      <c r="E38" s="2">
        <v>0</v>
      </c>
      <c r="H38" t="s">
        <v>125</v>
      </c>
      <c r="I38">
        <v>1</v>
      </c>
      <c r="J38">
        <v>0</v>
      </c>
      <c r="K38">
        <v>6</v>
      </c>
      <c r="L38" s="7">
        <v>0</v>
      </c>
    </row>
    <row r="40" spans="1:12" ht="15.95" customHeight="1" x14ac:dyDescent="0.25"/>
  </sheetData>
  <sortState xmlns:xlrd2="http://schemas.microsoft.com/office/spreadsheetml/2017/richdata2" ref="A2:E40">
    <sortCondition ref="A2:A4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FC8A-99C1-445A-8B7C-E1997B92C852}">
  <dimension ref="A1:L38"/>
  <sheetViews>
    <sheetView workbookViewId="0">
      <selection activeCell="B25" sqref="B25"/>
    </sheetView>
  </sheetViews>
  <sheetFormatPr defaultRowHeight="15" x14ac:dyDescent="0.25"/>
  <cols>
    <col min="1" max="1" width="39.42578125" bestFit="1" customWidth="1"/>
    <col min="3" max="3" width="11.5703125" customWidth="1"/>
    <col min="4" max="4" width="15.85546875" customWidth="1"/>
    <col min="8" max="8" width="11.42578125" bestFit="1" customWidth="1"/>
  </cols>
  <sheetData>
    <row r="1" spans="1:12" x14ac:dyDescent="0.25">
      <c r="A1" s="10" t="s">
        <v>128</v>
      </c>
      <c r="B1" t="s">
        <v>110</v>
      </c>
      <c r="C1" t="s">
        <v>111</v>
      </c>
      <c r="D1" t="s">
        <v>112</v>
      </c>
      <c r="E1" t="s">
        <v>109</v>
      </c>
      <c r="I1" t="s">
        <v>110</v>
      </c>
      <c r="J1" t="s">
        <v>111</v>
      </c>
      <c r="K1" t="s">
        <v>112</v>
      </c>
      <c r="L1" t="s">
        <v>109</v>
      </c>
    </row>
    <row r="2" spans="1:12" x14ac:dyDescent="0.25">
      <c r="A2" s="15" t="s">
        <v>16</v>
      </c>
      <c r="B2">
        <v>0</v>
      </c>
      <c r="C2">
        <v>0</v>
      </c>
      <c r="D2">
        <v>0</v>
      </c>
      <c r="E2" s="1">
        <v>1.5558974999999999</v>
      </c>
      <c r="H2" s="12" t="s">
        <v>134</v>
      </c>
      <c r="I2">
        <v>7.88</v>
      </c>
      <c r="J2">
        <v>0</v>
      </c>
      <c r="K2">
        <v>2.12</v>
      </c>
      <c r="L2" s="1">
        <v>82.046181500000003</v>
      </c>
    </row>
    <row r="3" spans="1:12" x14ac:dyDescent="0.25">
      <c r="A3" s="14" t="s">
        <v>15</v>
      </c>
      <c r="B3">
        <v>0</v>
      </c>
      <c r="C3">
        <v>0</v>
      </c>
      <c r="D3">
        <v>0</v>
      </c>
      <c r="E3" s="1">
        <v>1.559016</v>
      </c>
      <c r="H3" s="11" t="s">
        <v>130</v>
      </c>
      <c r="I3">
        <v>1.51</v>
      </c>
      <c r="J3">
        <v>0</v>
      </c>
      <c r="K3">
        <v>0.04</v>
      </c>
      <c r="L3" s="1">
        <v>4.4580000000000002</v>
      </c>
    </row>
    <row r="4" spans="1:12" x14ac:dyDescent="0.25">
      <c r="A4" t="s">
        <v>114</v>
      </c>
      <c r="B4">
        <v>0</v>
      </c>
      <c r="C4">
        <v>0</v>
      </c>
      <c r="D4">
        <v>4.55</v>
      </c>
      <c r="E4">
        <v>0</v>
      </c>
      <c r="H4" s="13" t="s">
        <v>131</v>
      </c>
      <c r="I4">
        <v>0.31</v>
      </c>
      <c r="J4">
        <v>0</v>
      </c>
      <c r="K4">
        <v>0.04</v>
      </c>
      <c r="L4">
        <v>0</v>
      </c>
    </row>
    <row r="5" spans="1:12" x14ac:dyDescent="0.25">
      <c r="A5" t="s">
        <v>123</v>
      </c>
      <c r="B5">
        <v>0</v>
      </c>
      <c r="C5">
        <v>16.57</v>
      </c>
      <c r="D5">
        <v>0</v>
      </c>
      <c r="E5" s="1">
        <v>0</v>
      </c>
      <c r="H5" s="14" t="s">
        <v>132</v>
      </c>
      <c r="I5">
        <v>2.7</v>
      </c>
      <c r="J5">
        <v>0</v>
      </c>
      <c r="K5">
        <v>3.27</v>
      </c>
      <c r="L5" s="1">
        <v>5.6180000000000003</v>
      </c>
    </row>
    <row r="6" spans="1:12" x14ac:dyDescent="0.25">
      <c r="A6" s="15" t="s">
        <v>22</v>
      </c>
      <c r="B6">
        <v>0.14000000000000001</v>
      </c>
      <c r="C6">
        <v>0</v>
      </c>
      <c r="D6">
        <v>0</v>
      </c>
      <c r="E6" s="2">
        <v>1.5612375000000001</v>
      </c>
      <c r="H6" s="15" t="s">
        <v>133</v>
      </c>
      <c r="I6">
        <v>0.13</v>
      </c>
      <c r="J6">
        <v>15.228</v>
      </c>
      <c r="K6">
        <v>0.04</v>
      </c>
      <c r="L6">
        <v>5.4980000000000002</v>
      </c>
    </row>
    <row r="7" spans="1:12" x14ac:dyDescent="0.25">
      <c r="A7" s="13" t="s">
        <v>127</v>
      </c>
      <c r="B7">
        <v>0.16</v>
      </c>
      <c r="C7">
        <v>0</v>
      </c>
      <c r="D7">
        <v>0</v>
      </c>
      <c r="E7" s="1">
        <v>0</v>
      </c>
      <c r="H7" t="s">
        <v>114</v>
      </c>
      <c r="I7">
        <v>0</v>
      </c>
      <c r="J7">
        <v>0</v>
      </c>
      <c r="K7">
        <v>4.59</v>
      </c>
      <c r="L7">
        <v>0</v>
      </c>
    </row>
    <row r="8" spans="1:12" x14ac:dyDescent="0.25">
      <c r="A8" t="s">
        <v>122</v>
      </c>
      <c r="B8">
        <v>28.61</v>
      </c>
      <c r="C8">
        <v>0</v>
      </c>
      <c r="D8">
        <v>0</v>
      </c>
      <c r="E8" s="1">
        <v>0</v>
      </c>
      <c r="H8" t="s">
        <v>123</v>
      </c>
      <c r="I8">
        <v>0</v>
      </c>
      <c r="J8">
        <v>22.698</v>
      </c>
      <c r="K8">
        <v>0.04</v>
      </c>
      <c r="L8" s="1">
        <v>0</v>
      </c>
    </row>
    <row r="9" spans="1:12" x14ac:dyDescent="0.25">
      <c r="A9" s="12" t="s">
        <v>25</v>
      </c>
      <c r="B9">
        <v>0.33</v>
      </c>
      <c r="C9">
        <v>0</v>
      </c>
      <c r="D9">
        <v>1.62</v>
      </c>
      <c r="E9" s="1">
        <v>1.7163094999999999</v>
      </c>
      <c r="H9" t="s">
        <v>122</v>
      </c>
      <c r="I9">
        <v>28.41</v>
      </c>
      <c r="J9">
        <v>0</v>
      </c>
      <c r="K9">
        <v>0.04</v>
      </c>
      <c r="L9" s="1">
        <v>0</v>
      </c>
    </row>
    <row r="10" spans="1:12" x14ac:dyDescent="0.25">
      <c r="A10" s="11" t="s">
        <v>18</v>
      </c>
      <c r="B10">
        <v>0</v>
      </c>
      <c r="C10">
        <v>0</v>
      </c>
      <c r="D10">
        <v>0</v>
      </c>
      <c r="E10" s="1">
        <v>1.55644</v>
      </c>
      <c r="H10" s="16" t="s">
        <v>37</v>
      </c>
      <c r="I10" s="16">
        <v>2.0099999999999998</v>
      </c>
      <c r="J10" s="16">
        <v>0</v>
      </c>
      <c r="K10" s="16">
        <v>0.04</v>
      </c>
      <c r="L10" s="18">
        <v>0</v>
      </c>
    </row>
    <row r="11" spans="1:12" x14ac:dyDescent="0.25">
      <c r="A11" s="12" t="s">
        <v>13</v>
      </c>
      <c r="B11">
        <v>0.28999999999999998</v>
      </c>
      <c r="C11">
        <v>0</v>
      </c>
      <c r="D11">
        <v>0</v>
      </c>
      <c r="E11" s="1">
        <v>35.430945999999999</v>
      </c>
      <c r="H11" s="16" t="s">
        <v>108</v>
      </c>
      <c r="I11" s="16">
        <v>0</v>
      </c>
      <c r="J11" s="16">
        <v>0</v>
      </c>
      <c r="K11" s="16">
        <v>30.759999999999998</v>
      </c>
      <c r="L11" s="17">
        <v>0</v>
      </c>
    </row>
    <row r="12" spans="1:12" x14ac:dyDescent="0.25">
      <c r="A12" s="14" t="s">
        <v>121</v>
      </c>
      <c r="B12">
        <v>2.8</v>
      </c>
      <c r="C12">
        <v>0</v>
      </c>
      <c r="D12">
        <v>3.23</v>
      </c>
      <c r="E12" s="1">
        <v>1.6847989999999999</v>
      </c>
      <c r="H12" t="s">
        <v>47</v>
      </c>
      <c r="I12">
        <v>10.42</v>
      </c>
      <c r="J12">
        <v>0</v>
      </c>
      <c r="K12">
        <v>2.5</v>
      </c>
      <c r="L12">
        <v>0</v>
      </c>
    </row>
    <row r="13" spans="1:12" x14ac:dyDescent="0.25">
      <c r="A13" s="12" t="s">
        <v>19</v>
      </c>
      <c r="B13">
        <v>0</v>
      </c>
      <c r="C13">
        <v>0</v>
      </c>
      <c r="D13">
        <v>0</v>
      </c>
      <c r="E13" s="3">
        <v>2.0325100000000003</v>
      </c>
      <c r="H13" t="s">
        <v>124</v>
      </c>
      <c r="I13">
        <v>2.8</v>
      </c>
      <c r="J13">
        <v>0</v>
      </c>
      <c r="K13">
        <v>2.97</v>
      </c>
      <c r="L13" s="1">
        <v>0</v>
      </c>
    </row>
    <row r="14" spans="1:12" x14ac:dyDescent="0.25">
      <c r="A14" s="11" t="s">
        <v>12</v>
      </c>
      <c r="B14">
        <v>1.52</v>
      </c>
      <c r="C14">
        <v>0</v>
      </c>
      <c r="D14">
        <v>0</v>
      </c>
      <c r="E14" s="1">
        <v>2.0762800000000001</v>
      </c>
      <c r="H14" t="s">
        <v>49</v>
      </c>
      <c r="I14">
        <v>4.4000000000000004</v>
      </c>
      <c r="J14">
        <v>0</v>
      </c>
      <c r="K14">
        <v>4.59</v>
      </c>
      <c r="L14" s="2">
        <v>0</v>
      </c>
    </row>
    <row r="15" spans="1:12" x14ac:dyDescent="0.25">
      <c r="A15" s="12" t="s">
        <v>14</v>
      </c>
      <c r="B15">
        <v>0</v>
      </c>
      <c r="C15">
        <v>0</v>
      </c>
      <c r="D15">
        <v>0</v>
      </c>
      <c r="E15" s="3">
        <v>10.130000000000001</v>
      </c>
      <c r="H15" t="s">
        <v>113</v>
      </c>
      <c r="I15">
        <v>11.03</v>
      </c>
      <c r="J15">
        <v>0</v>
      </c>
      <c r="K15">
        <v>4.8499999999999996</v>
      </c>
      <c r="L15" s="2">
        <v>0</v>
      </c>
    </row>
    <row r="16" spans="1:12" x14ac:dyDescent="0.25">
      <c r="A16" t="s">
        <v>37</v>
      </c>
      <c r="B16">
        <v>2.0099999999999998</v>
      </c>
      <c r="C16">
        <v>0</v>
      </c>
      <c r="D16">
        <v>0</v>
      </c>
      <c r="E16" s="3">
        <v>0</v>
      </c>
      <c r="H16" t="s">
        <v>59</v>
      </c>
      <c r="I16">
        <v>9</v>
      </c>
      <c r="J16">
        <v>0</v>
      </c>
      <c r="K16">
        <v>2.88</v>
      </c>
      <c r="L16" s="2">
        <v>0</v>
      </c>
    </row>
    <row r="17" spans="1:12" x14ac:dyDescent="0.25">
      <c r="A17" s="12" t="s">
        <v>29</v>
      </c>
      <c r="B17">
        <v>7.27</v>
      </c>
      <c r="C17">
        <v>0</v>
      </c>
      <c r="D17">
        <v>0</v>
      </c>
      <c r="E17" s="2">
        <v>21.51</v>
      </c>
      <c r="H17" t="s">
        <v>106</v>
      </c>
      <c r="I17">
        <v>0</v>
      </c>
      <c r="J17">
        <v>10.428000000000001</v>
      </c>
      <c r="K17">
        <v>10</v>
      </c>
      <c r="L17" s="2">
        <v>0</v>
      </c>
    </row>
    <row r="18" spans="1:12" x14ac:dyDescent="0.25">
      <c r="A18" t="s">
        <v>108</v>
      </c>
      <c r="B18">
        <v>0</v>
      </c>
      <c r="C18">
        <v>0</v>
      </c>
      <c r="D18">
        <v>30.72</v>
      </c>
      <c r="E18" s="2">
        <v>0</v>
      </c>
      <c r="H18" t="s">
        <v>55</v>
      </c>
      <c r="I18">
        <v>18.45</v>
      </c>
      <c r="J18">
        <v>36.408000000000001</v>
      </c>
      <c r="K18">
        <v>19.59</v>
      </c>
      <c r="L18" s="2">
        <v>2.3831519999999999</v>
      </c>
    </row>
    <row r="19" spans="1:12" x14ac:dyDescent="0.25">
      <c r="A19" s="13" t="s">
        <v>11</v>
      </c>
      <c r="B19">
        <v>0.77</v>
      </c>
      <c r="C19">
        <v>0</v>
      </c>
      <c r="D19">
        <v>0</v>
      </c>
      <c r="E19" s="1">
        <v>1.5595625</v>
      </c>
      <c r="H19" t="s">
        <v>115</v>
      </c>
      <c r="I19">
        <v>1.02</v>
      </c>
      <c r="J19">
        <v>15.738</v>
      </c>
      <c r="K19">
        <v>3.4</v>
      </c>
      <c r="L19" s="2">
        <v>0</v>
      </c>
    </row>
    <row r="20" spans="1:12" x14ac:dyDescent="0.25">
      <c r="A20" s="12" t="s">
        <v>40</v>
      </c>
      <c r="B20">
        <v>0</v>
      </c>
      <c r="C20">
        <v>0</v>
      </c>
      <c r="D20">
        <v>0</v>
      </c>
      <c r="E20" s="1">
        <v>0.85</v>
      </c>
      <c r="H20" s="16" t="s">
        <v>118</v>
      </c>
      <c r="I20" s="16">
        <v>0</v>
      </c>
      <c r="J20" s="16">
        <v>0</v>
      </c>
      <c r="K20" s="16">
        <v>8.3699999999999992</v>
      </c>
      <c r="L20" s="17">
        <v>0</v>
      </c>
    </row>
    <row r="21" spans="1:12" x14ac:dyDescent="0.25">
      <c r="A21" s="12" t="s">
        <v>17</v>
      </c>
      <c r="B21">
        <v>0</v>
      </c>
      <c r="C21">
        <v>0</v>
      </c>
      <c r="D21">
        <v>0.46</v>
      </c>
      <c r="E21" s="4">
        <v>3.28</v>
      </c>
      <c r="L21" s="2"/>
    </row>
    <row r="22" spans="1:12" x14ac:dyDescent="0.25">
      <c r="A22" s="14" t="s">
        <v>30</v>
      </c>
      <c r="B22">
        <v>0</v>
      </c>
      <c r="C22">
        <v>0</v>
      </c>
      <c r="D22">
        <v>0</v>
      </c>
      <c r="E22" s="1">
        <v>1.5501119999999999</v>
      </c>
    </row>
    <row r="23" spans="1:12" x14ac:dyDescent="0.25">
      <c r="A23" s="12" t="s">
        <v>28</v>
      </c>
      <c r="B23">
        <v>0</v>
      </c>
      <c r="C23">
        <v>0</v>
      </c>
      <c r="D23">
        <v>0</v>
      </c>
      <c r="E23" s="2">
        <v>1.560327</v>
      </c>
    </row>
    <row r="24" spans="1:12" x14ac:dyDescent="0.25">
      <c r="A24" s="15" t="s">
        <v>126</v>
      </c>
      <c r="B24">
        <v>0</v>
      </c>
      <c r="C24">
        <v>9.1</v>
      </c>
      <c r="D24">
        <v>0</v>
      </c>
      <c r="E24" s="2">
        <v>0</v>
      </c>
    </row>
    <row r="25" spans="1:12" x14ac:dyDescent="0.25">
      <c r="A25" t="s">
        <v>47</v>
      </c>
      <c r="B25">
        <v>10.62</v>
      </c>
      <c r="C25">
        <v>0</v>
      </c>
      <c r="D25">
        <v>2.46</v>
      </c>
      <c r="E25">
        <v>0</v>
      </c>
      <c r="J25">
        <f>95.86-100</f>
        <v>-4.1400000000000006</v>
      </c>
    </row>
    <row r="26" spans="1:12" x14ac:dyDescent="0.25">
      <c r="A26" s="12" t="s">
        <v>33</v>
      </c>
      <c r="B26">
        <v>0</v>
      </c>
      <c r="C26">
        <v>0</v>
      </c>
      <c r="D26">
        <v>0</v>
      </c>
      <c r="E26" s="1">
        <v>1.600344</v>
      </c>
    </row>
    <row r="27" spans="1:12" x14ac:dyDescent="0.25">
      <c r="A27" t="s">
        <v>124</v>
      </c>
      <c r="B27">
        <v>2.9</v>
      </c>
      <c r="C27">
        <v>0</v>
      </c>
      <c r="D27">
        <v>2.93</v>
      </c>
      <c r="E27" s="1">
        <v>0</v>
      </c>
      <c r="K27">
        <f>4.14/5</f>
        <v>0.82799999999999996</v>
      </c>
    </row>
    <row r="28" spans="1:12" x14ac:dyDescent="0.25">
      <c r="A28" t="s">
        <v>49</v>
      </c>
      <c r="B28">
        <v>4.5</v>
      </c>
      <c r="C28">
        <v>0</v>
      </c>
      <c r="D28">
        <v>4.55</v>
      </c>
      <c r="E28" s="2">
        <v>0</v>
      </c>
    </row>
    <row r="29" spans="1:12" x14ac:dyDescent="0.25">
      <c r="A29" s="15" t="s">
        <v>36</v>
      </c>
      <c r="B29">
        <v>0</v>
      </c>
      <c r="C29">
        <v>0</v>
      </c>
      <c r="D29">
        <v>0</v>
      </c>
      <c r="E29" s="2">
        <v>1.5522500000000001</v>
      </c>
    </row>
    <row r="30" spans="1:12" x14ac:dyDescent="0.25">
      <c r="A30" s="12" t="s">
        <v>61</v>
      </c>
      <c r="B30">
        <v>0</v>
      </c>
      <c r="C30">
        <v>0</v>
      </c>
      <c r="D30">
        <v>0</v>
      </c>
      <c r="E30" s="1">
        <v>1.557633</v>
      </c>
    </row>
    <row r="31" spans="1:12" x14ac:dyDescent="0.25">
      <c r="A31" s="12" t="s">
        <v>120</v>
      </c>
      <c r="B31">
        <v>0</v>
      </c>
      <c r="C31">
        <v>0</v>
      </c>
      <c r="D31">
        <v>0</v>
      </c>
      <c r="E31" s="2">
        <v>1.5501119999999999</v>
      </c>
    </row>
    <row r="32" spans="1:12" x14ac:dyDescent="0.25">
      <c r="A32" t="s">
        <v>113</v>
      </c>
      <c r="B32">
        <v>11.03</v>
      </c>
      <c r="C32">
        <v>0</v>
      </c>
      <c r="D32">
        <v>4.8099999999999996</v>
      </c>
      <c r="E32" s="2">
        <v>0</v>
      </c>
    </row>
    <row r="33" spans="1:5" x14ac:dyDescent="0.25">
      <c r="A33" t="s">
        <v>59</v>
      </c>
      <c r="B33">
        <v>10</v>
      </c>
      <c r="C33">
        <v>0</v>
      </c>
      <c r="D33">
        <v>2.84</v>
      </c>
      <c r="E33" s="2">
        <v>0</v>
      </c>
    </row>
    <row r="34" spans="1:5" x14ac:dyDescent="0.25">
      <c r="A34" t="s">
        <v>106</v>
      </c>
      <c r="B34">
        <v>0</v>
      </c>
      <c r="C34">
        <v>4.3</v>
      </c>
      <c r="D34">
        <v>9.9600000000000009</v>
      </c>
      <c r="E34" s="2">
        <v>0</v>
      </c>
    </row>
    <row r="35" spans="1:5" x14ac:dyDescent="0.25">
      <c r="A35" t="s">
        <v>55</v>
      </c>
      <c r="B35">
        <v>18.850000000000001</v>
      </c>
      <c r="C35">
        <v>30.28</v>
      </c>
      <c r="D35">
        <v>19.55</v>
      </c>
      <c r="E35" s="2">
        <v>1.5551520000000001</v>
      </c>
    </row>
    <row r="36" spans="1:5" x14ac:dyDescent="0.25">
      <c r="A36" t="s">
        <v>115</v>
      </c>
      <c r="B36">
        <v>1.1499999999999999</v>
      </c>
      <c r="C36">
        <v>9.61</v>
      </c>
      <c r="D36">
        <v>3.36</v>
      </c>
      <c r="E36" s="2">
        <v>0</v>
      </c>
    </row>
    <row r="37" spans="1:5" x14ac:dyDescent="0.25">
      <c r="A37" t="s">
        <v>118</v>
      </c>
      <c r="B37">
        <v>0</v>
      </c>
      <c r="C37">
        <v>0</v>
      </c>
      <c r="D37">
        <v>8.33</v>
      </c>
      <c r="E37" s="2">
        <v>0</v>
      </c>
    </row>
    <row r="38" spans="1:5" x14ac:dyDescent="0.25">
      <c r="A38" t="s">
        <v>125</v>
      </c>
      <c r="B38">
        <v>0</v>
      </c>
      <c r="C38">
        <v>30.64</v>
      </c>
      <c r="D38">
        <v>0.64</v>
      </c>
      <c r="E38" s="2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D2C1-32EB-4E47-A778-9A4E62D722E2}">
  <dimension ref="A1:L46"/>
  <sheetViews>
    <sheetView workbookViewId="0">
      <selection activeCell="H35" sqref="H35"/>
    </sheetView>
  </sheetViews>
  <sheetFormatPr defaultRowHeight="15" x14ac:dyDescent="0.25"/>
  <cols>
    <col min="1" max="1" width="17.7109375" bestFit="1" customWidth="1"/>
    <col min="8" max="8" width="34.5703125" customWidth="1"/>
    <col min="10" max="10" width="11.5703125" customWidth="1"/>
    <col min="11" max="11" width="15.85546875" customWidth="1"/>
  </cols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I1" t="s">
        <v>110</v>
      </c>
      <c r="J1" t="s">
        <v>111</v>
      </c>
      <c r="K1" t="s">
        <v>112</v>
      </c>
      <c r="L1" t="s">
        <v>109</v>
      </c>
    </row>
    <row r="2" spans="1:12" x14ac:dyDescent="0.25">
      <c r="A2" t="s">
        <v>16</v>
      </c>
      <c r="B2">
        <v>0</v>
      </c>
      <c r="C2">
        <v>0</v>
      </c>
      <c r="D2">
        <v>0</v>
      </c>
      <c r="E2">
        <v>25</v>
      </c>
      <c r="H2" t="s">
        <v>16</v>
      </c>
      <c r="I2">
        <v>0</v>
      </c>
      <c r="J2">
        <v>0</v>
      </c>
      <c r="K2">
        <v>0</v>
      </c>
      <c r="L2" s="5">
        <v>25</v>
      </c>
    </row>
    <row r="3" spans="1:12" x14ac:dyDescent="0.25">
      <c r="A3" t="s">
        <v>15</v>
      </c>
      <c r="B3">
        <v>0</v>
      </c>
      <c r="C3">
        <v>0</v>
      </c>
      <c r="D3">
        <v>0</v>
      </c>
      <c r="E3">
        <v>71</v>
      </c>
      <c r="H3" t="s">
        <v>15</v>
      </c>
      <c r="I3">
        <v>0</v>
      </c>
      <c r="J3">
        <v>0</v>
      </c>
      <c r="K3">
        <v>0</v>
      </c>
      <c r="L3" s="5">
        <v>71</v>
      </c>
    </row>
    <row r="4" spans="1:12" x14ac:dyDescent="0.25">
      <c r="A4" t="s">
        <v>5</v>
      </c>
      <c r="B4">
        <v>1</v>
      </c>
      <c r="C4">
        <v>0</v>
      </c>
      <c r="D4">
        <v>0</v>
      </c>
      <c r="E4">
        <v>0</v>
      </c>
      <c r="H4" t="s">
        <v>114</v>
      </c>
      <c r="I4">
        <v>0</v>
      </c>
      <c r="J4">
        <v>0</v>
      </c>
      <c r="K4">
        <v>1</v>
      </c>
      <c r="L4" s="6">
        <v>0</v>
      </c>
    </row>
    <row r="5" spans="1:12" x14ac:dyDescent="0.25">
      <c r="A5" t="s">
        <v>42</v>
      </c>
      <c r="B5">
        <v>0</v>
      </c>
      <c r="C5">
        <v>0</v>
      </c>
      <c r="D5">
        <v>3</v>
      </c>
      <c r="E5">
        <v>0</v>
      </c>
      <c r="H5" t="s">
        <v>123</v>
      </c>
      <c r="I5">
        <v>0</v>
      </c>
      <c r="J5">
        <v>3</v>
      </c>
      <c r="K5">
        <v>0</v>
      </c>
      <c r="L5" s="5">
        <v>0</v>
      </c>
    </row>
    <row r="6" spans="1:12" x14ac:dyDescent="0.25">
      <c r="A6" t="s">
        <v>22</v>
      </c>
      <c r="B6">
        <v>0</v>
      </c>
      <c r="C6">
        <v>1</v>
      </c>
      <c r="D6">
        <v>0</v>
      </c>
      <c r="E6">
        <v>14</v>
      </c>
      <c r="H6" t="s">
        <v>22</v>
      </c>
      <c r="I6">
        <v>0</v>
      </c>
      <c r="J6">
        <v>0</v>
      </c>
      <c r="K6">
        <v>0</v>
      </c>
      <c r="L6" s="7">
        <v>14</v>
      </c>
    </row>
    <row r="7" spans="1:12" x14ac:dyDescent="0.25">
      <c r="A7" t="s">
        <v>8</v>
      </c>
      <c r="B7">
        <v>1</v>
      </c>
      <c r="C7">
        <v>0</v>
      </c>
      <c r="D7">
        <v>0</v>
      </c>
      <c r="E7">
        <v>0</v>
      </c>
      <c r="H7" t="s">
        <v>22</v>
      </c>
      <c r="I7">
        <v>1</v>
      </c>
      <c r="J7">
        <v>0</v>
      </c>
      <c r="K7">
        <v>0</v>
      </c>
      <c r="L7" s="5">
        <v>0</v>
      </c>
    </row>
    <row r="8" spans="1:12" x14ac:dyDescent="0.25">
      <c r="A8" t="s">
        <v>23</v>
      </c>
      <c r="B8">
        <v>0</v>
      </c>
      <c r="C8">
        <v>44</v>
      </c>
      <c r="D8">
        <v>0</v>
      </c>
      <c r="E8">
        <v>0</v>
      </c>
      <c r="H8" t="s">
        <v>122</v>
      </c>
      <c r="I8">
        <v>44</v>
      </c>
      <c r="J8">
        <v>0</v>
      </c>
      <c r="K8">
        <v>0</v>
      </c>
      <c r="L8" s="5">
        <v>0</v>
      </c>
    </row>
    <row r="9" spans="1:12" x14ac:dyDescent="0.25">
      <c r="A9" t="s">
        <v>25</v>
      </c>
      <c r="B9">
        <v>2</v>
      </c>
      <c r="C9">
        <v>1</v>
      </c>
      <c r="D9">
        <v>0</v>
      </c>
      <c r="E9">
        <v>13</v>
      </c>
      <c r="H9" t="s">
        <v>25</v>
      </c>
      <c r="I9">
        <v>1</v>
      </c>
      <c r="J9">
        <v>0</v>
      </c>
      <c r="K9">
        <v>2</v>
      </c>
      <c r="L9" s="5">
        <v>13</v>
      </c>
    </row>
    <row r="10" spans="1:12" x14ac:dyDescent="0.25">
      <c r="A10" t="s">
        <v>58</v>
      </c>
      <c r="B10">
        <v>2</v>
      </c>
      <c r="C10">
        <v>7</v>
      </c>
      <c r="D10">
        <v>0</v>
      </c>
      <c r="E10">
        <v>8</v>
      </c>
      <c r="H10" t="s">
        <v>58</v>
      </c>
      <c r="I10">
        <v>7</v>
      </c>
      <c r="J10">
        <v>0</v>
      </c>
      <c r="K10">
        <v>0</v>
      </c>
      <c r="L10" s="5">
        <v>0</v>
      </c>
    </row>
    <row r="11" spans="1:12" x14ac:dyDescent="0.25">
      <c r="A11" t="s">
        <v>26</v>
      </c>
      <c r="B11">
        <v>2</v>
      </c>
      <c r="C11">
        <v>0</v>
      </c>
      <c r="D11">
        <v>0</v>
      </c>
      <c r="E11">
        <v>0</v>
      </c>
      <c r="H11" t="s">
        <v>18</v>
      </c>
      <c r="I11">
        <v>0</v>
      </c>
      <c r="J11">
        <v>0</v>
      </c>
      <c r="K11">
        <v>0</v>
      </c>
      <c r="L11" s="5">
        <v>3</v>
      </c>
    </row>
    <row r="12" spans="1:12" x14ac:dyDescent="0.25">
      <c r="A12" t="s">
        <v>10</v>
      </c>
      <c r="B12">
        <v>0</v>
      </c>
      <c r="C12">
        <v>1</v>
      </c>
      <c r="D12">
        <v>0</v>
      </c>
      <c r="E12">
        <v>0</v>
      </c>
      <c r="H12" t="s">
        <v>13</v>
      </c>
      <c r="I12">
        <v>2</v>
      </c>
      <c r="J12">
        <v>0</v>
      </c>
      <c r="K12">
        <v>0</v>
      </c>
      <c r="L12" s="5">
        <v>2001</v>
      </c>
    </row>
    <row r="13" spans="1:12" x14ac:dyDescent="0.25">
      <c r="A13" t="s">
        <v>18</v>
      </c>
      <c r="B13">
        <v>0</v>
      </c>
      <c r="C13">
        <v>0</v>
      </c>
      <c r="D13">
        <v>0</v>
      </c>
      <c r="E13">
        <v>3</v>
      </c>
      <c r="H13" t="s">
        <v>121</v>
      </c>
      <c r="I13">
        <v>0</v>
      </c>
      <c r="J13">
        <v>0</v>
      </c>
      <c r="K13">
        <v>0</v>
      </c>
      <c r="L13" s="8">
        <v>1.6847989999999999</v>
      </c>
    </row>
    <row r="14" spans="1:12" x14ac:dyDescent="0.25">
      <c r="A14" t="s">
        <v>13</v>
      </c>
      <c r="B14">
        <v>0</v>
      </c>
      <c r="C14">
        <v>2</v>
      </c>
      <c r="D14">
        <v>0</v>
      </c>
      <c r="E14">
        <v>2001</v>
      </c>
      <c r="H14" t="s">
        <v>19</v>
      </c>
      <c r="I14">
        <v>0</v>
      </c>
      <c r="J14">
        <v>0</v>
      </c>
      <c r="K14">
        <v>0</v>
      </c>
      <c r="L14" s="5">
        <v>170</v>
      </c>
    </row>
    <row r="15" spans="1:12" x14ac:dyDescent="0.25">
      <c r="A15" t="s">
        <v>31</v>
      </c>
      <c r="B15">
        <v>0</v>
      </c>
      <c r="C15">
        <v>0</v>
      </c>
      <c r="D15">
        <v>0</v>
      </c>
      <c r="E15">
        <v>61</v>
      </c>
      <c r="H15" t="s">
        <v>12</v>
      </c>
      <c r="I15">
        <v>7</v>
      </c>
      <c r="J15">
        <v>0</v>
      </c>
      <c r="K15">
        <v>0</v>
      </c>
      <c r="L15" s="8">
        <v>126</v>
      </c>
    </row>
    <row r="16" spans="1:12" x14ac:dyDescent="0.25">
      <c r="A16" t="s">
        <v>38</v>
      </c>
      <c r="B16">
        <v>0</v>
      </c>
      <c r="C16">
        <v>0</v>
      </c>
      <c r="D16">
        <v>0</v>
      </c>
      <c r="E16">
        <v>1</v>
      </c>
      <c r="H16" t="s">
        <v>14</v>
      </c>
      <c r="I16">
        <v>0</v>
      </c>
      <c r="J16">
        <v>0</v>
      </c>
      <c r="K16">
        <v>0</v>
      </c>
      <c r="L16" s="6">
        <v>106</v>
      </c>
    </row>
    <row r="17" spans="1:12" x14ac:dyDescent="0.25">
      <c r="A17" t="s">
        <v>19</v>
      </c>
      <c r="B17">
        <v>0</v>
      </c>
      <c r="C17">
        <v>0</v>
      </c>
      <c r="D17">
        <v>0</v>
      </c>
      <c r="E17">
        <v>170</v>
      </c>
      <c r="H17" t="s">
        <v>37</v>
      </c>
      <c r="I17">
        <v>4</v>
      </c>
      <c r="J17">
        <v>0</v>
      </c>
      <c r="K17">
        <v>0</v>
      </c>
      <c r="L17" s="5">
        <v>0</v>
      </c>
    </row>
    <row r="18" spans="1:12" x14ac:dyDescent="0.25">
      <c r="A18" t="s">
        <v>12</v>
      </c>
      <c r="B18">
        <v>0</v>
      </c>
      <c r="C18">
        <v>7</v>
      </c>
      <c r="D18">
        <v>0</v>
      </c>
      <c r="E18">
        <v>126</v>
      </c>
      <c r="H18" t="s">
        <v>29</v>
      </c>
      <c r="I18">
        <v>82</v>
      </c>
      <c r="J18">
        <v>0</v>
      </c>
      <c r="K18">
        <v>0</v>
      </c>
      <c r="L18" s="5">
        <v>0</v>
      </c>
    </row>
    <row r="19" spans="1:12" x14ac:dyDescent="0.25">
      <c r="A19" t="s">
        <v>14</v>
      </c>
      <c r="B19">
        <v>0</v>
      </c>
      <c r="C19">
        <v>0</v>
      </c>
      <c r="D19">
        <v>0</v>
      </c>
      <c r="E19">
        <v>110</v>
      </c>
      <c r="H19" t="s">
        <v>108</v>
      </c>
      <c r="I19">
        <v>0</v>
      </c>
      <c r="J19">
        <v>0</v>
      </c>
      <c r="K19">
        <v>15</v>
      </c>
      <c r="L19" s="5">
        <v>0</v>
      </c>
    </row>
    <row r="20" spans="1:12" x14ac:dyDescent="0.25">
      <c r="A20" t="s">
        <v>32</v>
      </c>
      <c r="B20">
        <v>0</v>
      </c>
      <c r="C20">
        <v>0</v>
      </c>
      <c r="D20">
        <v>0</v>
      </c>
      <c r="E20">
        <v>578</v>
      </c>
      <c r="H20" t="s">
        <v>11</v>
      </c>
      <c r="I20">
        <v>6</v>
      </c>
      <c r="J20">
        <v>0</v>
      </c>
      <c r="K20">
        <v>0</v>
      </c>
      <c r="L20" s="7">
        <v>11</v>
      </c>
    </row>
    <row r="21" spans="1:12" x14ac:dyDescent="0.25">
      <c r="A21" t="s">
        <v>60</v>
      </c>
      <c r="B21">
        <v>0</v>
      </c>
      <c r="C21">
        <v>0</v>
      </c>
      <c r="D21">
        <v>0</v>
      </c>
      <c r="E21">
        <v>241</v>
      </c>
      <c r="H21" t="s">
        <v>17</v>
      </c>
      <c r="I21">
        <v>0</v>
      </c>
      <c r="J21">
        <v>0</v>
      </c>
      <c r="K21">
        <v>2</v>
      </c>
      <c r="L21" s="9">
        <v>120</v>
      </c>
    </row>
    <row r="22" spans="1:12" x14ac:dyDescent="0.25">
      <c r="A22" t="s">
        <v>37</v>
      </c>
      <c r="B22">
        <v>0</v>
      </c>
      <c r="C22">
        <v>4</v>
      </c>
      <c r="D22">
        <v>0</v>
      </c>
      <c r="E22">
        <v>0</v>
      </c>
      <c r="H22" t="s">
        <v>40</v>
      </c>
      <c r="I22">
        <v>0</v>
      </c>
      <c r="J22">
        <v>0</v>
      </c>
      <c r="K22">
        <v>0</v>
      </c>
      <c r="L22" s="7">
        <v>51</v>
      </c>
    </row>
    <row r="23" spans="1:12" x14ac:dyDescent="0.25">
      <c r="A23" t="s">
        <v>29</v>
      </c>
      <c r="B23">
        <v>0</v>
      </c>
      <c r="C23">
        <v>82</v>
      </c>
      <c r="D23">
        <v>0</v>
      </c>
      <c r="E23">
        <v>2934</v>
      </c>
      <c r="H23" t="s">
        <v>30</v>
      </c>
      <c r="I23">
        <v>0</v>
      </c>
      <c r="J23">
        <v>0</v>
      </c>
      <c r="K23">
        <v>0</v>
      </c>
      <c r="L23" s="7">
        <v>2</v>
      </c>
    </row>
    <row r="24" spans="1:12" x14ac:dyDescent="0.25">
      <c r="A24" t="s">
        <v>43</v>
      </c>
      <c r="B24">
        <v>4</v>
      </c>
      <c r="C24">
        <v>0</v>
      </c>
      <c r="D24">
        <v>0</v>
      </c>
      <c r="E24">
        <v>0</v>
      </c>
      <c r="H24" t="s">
        <v>28</v>
      </c>
      <c r="I24">
        <v>0</v>
      </c>
      <c r="J24">
        <v>0</v>
      </c>
      <c r="K24">
        <v>0</v>
      </c>
      <c r="L24" s="5">
        <v>91</v>
      </c>
    </row>
    <row r="25" spans="1:12" x14ac:dyDescent="0.25">
      <c r="A25" t="s">
        <v>11</v>
      </c>
      <c r="B25">
        <v>0</v>
      </c>
      <c r="C25">
        <v>6</v>
      </c>
      <c r="D25">
        <v>0</v>
      </c>
      <c r="E25">
        <v>0</v>
      </c>
      <c r="H25" t="s">
        <v>126</v>
      </c>
      <c r="I25">
        <v>0</v>
      </c>
      <c r="J25">
        <v>46</v>
      </c>
      <c r="K25">
        <v>0</v>
      </c>
      <c r="L25" s="5">
        <v>0</v>
      </c>
    </row>
    <row r="26" spans="1:12" x14ac:dyDescent="0.25">
      <c r="A26" t="s">
        <v>17</v>
      </c>
      <c r="B26">
        <v>2</v>
      </c>
      <c r="C26">
        <v>0</v>
      </c>
      <c r="D26">
        <v>0</v>
      </c>
      <c r="E26">
        <v>120</v>
      </c>
      <c r="H26" t="s">
        <v>33</v>
      </c>
      <c r="I26">
        <v>0</v>
      </c>
      <c r="J26">
        <v>0</v>
      </c>
      <c r="K26">
        <v>0</v>
      </c>
      <c r="L26" s="5">
        <v>21</v>
      </c>
    </row>
    <row r="27" spans="1:12" x14ac:dyDescent="0.25">
      <c r="A27" t="s">
        <v>40</v>
      </c>
      <c r="B27">
        <v>0</v>
      </c>
      <c r="C27">
        <v>0</v>
      </c>
      <c r="D27">
        <v>0</v>
      </c>
      <c r="E27">
        <v>51</v>
      </c>
      <c r="H27" t="s">
        <v>124</v>
      </c>
      <c r="I27">
        <v>7</v>
      </c>
      <c r="J27">
        <v>0</v>
      </c>
      <c r="K27">
        <v>2</v>
      </c>
      <c r="L27" s="7">
        <v>0</v>
      </c>
    </row>
    <row r="28" spans="1:12" x14ac:dyDescent="0.25">
      <c r="A28" t="s">
        <v>46</v>
      </c>
      <c r="B28">
        <v>2</v>
      </c>
      <c r="C28">
        <v>5</v>
      </c>
      <c r="D28">
        <v>4</v>
      </c>
      <c r="E28">
        <v>0</v>
      </c>
      <c r="H28" t="s">
        <v>49</v>
      </c>
      <c r="I28">
        <v>0</v>
      </c>
      <c r="J28">
        <v>0</v>
      </c>
      <c r="K28">
        <v>2</v>
      </c>
      <c r="L28" s="7">
        <v>0</v>
      </c>
    </row>
    <row r="29" spans="1:12" x14ac:dyDescent="0.25">
      <c r="A29" t="s">
        <v>30</v>
      </c>
      <c r="B29">
        <v>0</v>
      </c>
      <c r="C29">
        <v>0</v>
      </c>
      <c r="D29">
        <v>0</v>
      </c>
      <c r="E29">
        <v>2</v>
      </c>
      <c r="H29" t="s">
        <v>36</v>
      </c>
      <c r="I29">
        <v>0</v>
      </c>
      <c r="J29">
        <v>0</v>
      </c>
      <c r="K29">
        <v>0</v>
      </c>
      <c r="L29" s="5">
        <v>2</v>
      </c>
    </row>
    <row r="30" spans="1:12" x14ac:dyDescent="0.25">
      <c r="A30" t="s">
        <v>28</v>
      </c>
      <c r="B30">
        <v>0</v>
      </c>
      <c r="C30">
        <v>0</v>
      </c>
      <c r="D30">
        <v>0</v>
      </c>
      <c r="E30">
        <v>91</v>
      </c>
      <c r="H30" t="s">
        <v>61</v>
      </c>
      <c r="I30">
        <v>0</v>
      </c>
      <c r="J30">
        <v>0</v>
      </c>
      <c r="K30">
        <v>0</v>
      </c>
      <c r="L30" s="7">
        <v>4</v>
      </c>
    </row>
    <row r="31" spans="1:12" x14ac:dyDescent="0.25">
      <c r="A31" t="s">
        <v>27</v>
      </c>
      <c r="B31">
        <v>0</v>
      </c>
      <c r="C31">
        <v>0</v>
      </c>
      <c r="D31">
        <v>46</v>
      </c>
      <c r="E31">
        <v>0</v>
      </c>
      <c r="H31" t="s">
        <v>120</v>
      </c>
      <c r="I31">
        <v>0</v>
      </c>
      <c r="J31">
        <v>0</v>
      </c>
      <c r="K31">
        <v>0</v>
      </c>
      <c r="L31" s="7">
        <v>1</v>
      </c>
    </row>
    <row r="32" spans="1:12" x14ac:dyDescent="0.25">
      <c r="A32" t="s">
        <v>63</v>
      </c>
      <c r="B32">
        <v>7</v>
      </c>
      <c r="C32">
        <v>59</v>
      </c>
      <c r="D32">
        <v>0</v>
      </c>
      <c r="E32">
        <v>1</v>
      </c>
      <c r="H32" t="s">
        <v>113</v>
      </c>
      <c r="I32">
        <v>15</v>
      </c>
      <c r="J32">
        <v>0</v>
      </c>
      <c r="K32">
        <v>2</v>
      </c>
      <c r="L32" s="7">
        <v>0</v>
      </c>
    </row>
    <row r="33" spans="1:12" x14ac:dyDescent="0.25">
      <c r="A33" t="s">
        <v>33</v>
      </c>
      <c r="B33">
        <v>0</v>
      </c>
      <c r="C33">
        <v>0</v>
      </c>
      <c r="D33">
        <v>0</v>
      </c>
      <c r="E33">
        <v>21</v>
      </c>
      <c r="H33" t="s">
        <v>59</v>
      </c>
      <c r="I33">
        <v>41</v>
      </c>
      <c r="J33">
        <v>0</v>
      </c>
      <c r="K33">
        <v>1</v>
      </c>
      <c r="L33" s="7">
        <v>0</v>
      </c>
    </row>
    <row r="34" spans="1:12" x14ac:dyDescent="0.25">
      <c r="A34" t="s">
        <v>48</v>
      </c>
      <c r="B34">
        <v>2</v>
      </c>
      <c r="C34">
        <v>7</v>
      </c>
      <c r="D34">
        <v>0</v>
      </c>
      <c r="E34">
        <v>0</v>
      </c>
      <c r="H34" t="s">
        <v>106</v>
      </c>
      <c r="I34">
        <v>0</v>
      </c>
      <c r="J34">
        <v>119</v>
      </c>
      <c r="K34">
        <v>5</v>
      </c>
      <c r="L34" s="7">
        <v>0</v>
      </c>
    </row>
    <row r="35" spans="1:12" x14ac:dyDescent="0.25">
      <c r="A35" t="s">
        <v>35</v>
      </c>
      <c r="B35">
        <v>4</v>
      </c>
      <c r="C35">
        <v>0</v>
      </c>
      <c r="D35">
        <v>0</v>
      </c>
      <c r="E35">
        <v>0</v>
      </c>
      <c r="H35" t="s">
        <v>55</v>
      </c>
      <c r="I35">
        <v>59</v>
      </c>
      <c r="J35">
        <v>0</v>
      </c>
      <c r="K35">
        <v>7</v>
      </c>
      <c r="L35" s="7">
        <v>1</v>
      </c>
    </row>
    <row r="36" spans="1:12" x14ac:dyDescent="0.25">
      <c r="A36" t="s">
        <v>36</v>
      </c>
      <c r="B36">
        <v>0</v>
      </c>
      <c r="C36">
        <v>0</v>
      </c>
      <c r="D36">
        <v>0</v>
      </c>
      <c r="E36">
        <v>2</v>
      </c>
      <c r="H36" t="s">
        <v>115</v>
      </c>
      <c r="I36">
        <v>5</v>
      </c>
      <c r="J36">
        <v>4</v>
      </c>
      <c r="K36">
        <v>2</v>
      </c>
      <c r="L36" s="7">
        <v>0</v>
      </c>
    </row>
    <row r="37" spans="1:12" x14ac:dyDescent="0.25">
      <c r="A37" t="s">
        <v>61</v>
      </c>
      <c r="B37">
        <v>0</v>
      </c>
      <c r="C37">
        <v>0</v>
      </c>
      <c r="D37">
        <v>0</v>
      </c>
      <c r="E37">
        <v>4</v>
      </c>
      <c r="H37" t="s">
        <v>118</v>
      </c>
      <c r="I37">
        <v>0</v>
      </c>
      <c r="J37">
        <v>0</v>
      </c>
      <c r="K37">
        <v>4</v>
      </c>
      <c r="L37" s="7">
        <v>0</v>
      </c>
    </row>
    <row r="38" spans="1:12" x14ac:dyDescent="0.25">
      <c r="A38" t="s">
        <v>21</v>
      </c>
      <c r="B38">
        <v>0</v>
      </c>
      <c r="C38">
        <v>0</v>
      </c>
      <c r="D38">
        <v>0</v>
      </c>
      <c r="E38">
        <v>1</v>
      </c>
      <c r="H38" t="s">
        <v>125</v>
      </c>
      <c r="I38">
        <v>0</v>
      </c>
      <c r="J38">
        <v>6</v>
      </c>
      <c r="K38">
        <v>1</v>
      </c>
      <c r="L38" s="7">
        <v>0</v>
      </c>
    </row>
    <row r="39" spans="1:12" x14ac:dyDescent="0.25">
      <c r="A39" t="s">
        <v>24</v>
      </c>
      <c r="B39">
        <v>2</v>
      </c>
      <c r="C39">
        <v>0</v>
      </c>
      <c r="D39">
        <v>0</v>
      </c>
      <c r="E39">
        <v>0</v>
      </c>
    </row>
    <row r="40" spans="1:12" x14ac:dyDescent="0.25">
      <c r="A40" t="s">
        <v>57</v>
      </c>
      <c r="B40">
        <v>0</v>
      </c>
      <c r="C40">
        <v>0</v>
      </c>
      <c r="D40">
        <v>0</v>
      </c>
      <c r="E40">
        <v>15</v>
      </c>
    </row>
    <row r="41" spans="1:12" x14ac:dyDescent="0.25">
      <c r="A41" t="s">
        <v>59</v>
      </c>
      <c r="B41">
        <v>6</v>
      </c>
      <c r="C41">
        <v>41</v>
      </c>
      <c r="D41">
        <v>0</v>
      </c>
      <c r="E41">
        <v>0</v>
      </c>
    </row>
    <row r="42" spans="1:12" x14ac:dyDescent="0.25">
      <c r="A42" t="s">
        <v>54</v>
      </c>
      <c r="B42">
        <v>5</v>
      </c>
      <c r="C42">
        <v>119</v>
      </c>
      <c r="D42">
        <v>2</v>
      </c>
      <c r="E42">
        <v>0</v>
      </c>
    </row>
    <row r="43" spans="1:12" x14ac:dyDescent="0.25">
      <c r="A43" t="s">
        <v>7</v>
      </c>
      <c r="B43">
        <v>5</v>
      </c>
      <c r="C43">
        <v>0</v>
      </c>
      <c r="D43">
        <v>0</v>
      </c>
      <c r="E43">
        <v>0</v>
      </c>
    </row>
    <row r="44" spans="1:12" x14ac:dyDescent="0.25">
      <c r="A44" t="s">
        <v>62</v>
      </c>
      <c r="B44">
        <v>0</v>
      </c>
      <c r="C44">
        <v>0</v>
      </c>
      <c r="D44">
        <v>6</v>
      </c>
      <c r="E44">
        <v>0</v>
      </c>
    </row>
    <row r="45" spans="1:12" x14ac:dyDescent="0.25">
      <c r="A45" t="s">
        <v>56</v>
      </c>
      <c r="B45">
        <v>1</v>
      </c>
      <c r="C45">
        <v>0</v>
      </c>
      <c r="D45">
        <v>6</v>
      </c>
      <c r="E45">
        <v>0</v>
      </c>
    </row>
    <row r="46" spans="1:12" x14ac:dyDescent="0.25">
      <c r="A46" t="s">
        <v>34</v>
      </c>
      <c r="B46">
        <v>1</v>
      </c>
      <c r="C46">
        <v>0</v>
      </c>
      <c r="D46">
        <v>0</v>
      </c>
      <c r="E46">
        <v>0</v>
      </c>
    </row>
  </sheetData>
  <sortState xmlns:xlrd2="http://schemas.microsoft.com/office/spreadsheetml/2017/richdata2" ref="H2:L38">
    <sortCondition ref="H38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4512-985A-445B-AA73-05984328C636}">
  <dimension ref="A1:AQ43"/>
  <sheetViews>
    <sheetView workbookViewId="0">
      <selection sqref="A1:XFD1048576"/>
    </sheetView>
  </sheetViews>
  <sheetFormatPr defaultRowHeight="15" x14ac:dyDescent="0.25"/>
  <cols>
    <col min="1" max="1" width="17.140625" bestFit="1" customWidth="1"/>
  </cols>
  <sheetData>
    <row r="1" spans="1:43" x14ac:dyDescent="0.25">
      <c r="C1" t="s">
        <v>0</v>
      </c>
      <c r="D1" t="s">
        <v>1</v>
      </c>
      <c r="E1" t="s">
        <v>2</v>
      </c>
      <c r="F1" t="s">
        <v>3</v>
      </c>
      <c r="G1" t="s">
        <v>16</v>
      </c>
      <c r="H1" t="s">
        <v>15</v>
      </c>
      <c r="I1" t="s">
        <v>114</v>
      </c>
      <c r="J1" t="s">
        <v>123</v>
      </c>
      <c r="K1" t="s">
        <v>22</v>
      </c>
      <c r="L1" t="s">
        <v>116</v>
      </c>
      <c r="M1" t="s">
        <v>122</v>
      </c>
      <c r="N1" t="s">
        <v>25</v>
      </c>
      <c r="O1" t="s">
        <v>18</v>
      </c>
      <c r="P1" t="s">
        <v>13</v>
      </c>
      <c r="Q1" t="s">
        <v>121</v>
      </c>
      <c r="R1" t="s">
        <v>19</v>
      </c>
      <c r="S1" t="s">
        <v>12</v>
      </c>
      <c r="T1" t="s">
        <v>37</v>
      </c>
      <c r="U1" t="s">
        <v>108</v>
      </c>
      <c r="V1" t="s">
        <v>11</v>
      </c>
      <c r="W1" t="s">
        <v>117</v>
      </c>
      <c r="X1" t="s">
        <v>17</v>
      </c>
      <c r="Y1" t="s">
        <v>40</v>
      </c>
      <c r="Z1" t="s">
        <v>30</v>
      </c>
      <c r="AA1" t="s">
        <v>28</v>
      </c>
      <c r="AB1" t="s">
        <v>47</v>
      </c>
      <c r="AC1" t="s">
        <v>119</v>
      </c>
      <c r="AD1" t="s">
        <v>105</v>
      </c>
      <c r="AE1" t="s">
        <v>124</v>
      </c>
      <c r="AF1" t="s">
        <v>49</v>
      </c>
      <c r="AG1" t="s">
        <v>36</v>
      </c>
      <c r="AH1" t="s">
        <v>61</v>
      </c>
      <c r="AI1" t="s">
        <v>120</v>
      </c>
      <c r="AJ1" t="s">
        <v>59</v>
      </c>
      <c r="AK1" t="s">
        <v>106</v>
      </c>
      <c r="AL1" t="s">
        <v>62</v>
      </c>
      <c r="AM1" t="s">
        <v>107</v>
      </c>
      <c r="AN1" t="s">
        <v>55</v>
      </c>
      <c r="AO1" t="s">
        <v>115</v>
      </c>
      <c r="AP1" t="s">
        <v>118</v>
      </c>
      <c r="AQ1" t="s">
        <v>125</v>
      </c>
    </row>
    <row r="2" spans="1:43" x14ac:dyDescent="0.25">
      <c r="C2" t="s">
        <v>103</v>
      </c>
      <c r="D2" t="s">
        <v>104</v>
      </c>
      <c r="E2" t="s">
        <v>101</v>
      </c>
      <c r="F2" t="s">
        <v>102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 t="s">
        <v>81</v>
      </c>
      <c r="Y2" t="s">
        <v>82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95</v>
      </c>
      <c r="AM2" t="s">
        <v>96</v>
      </c>
      <c r="AN2" t="s">
        <v>97</v>
      </c>
      <c r="AO2" t="s">
        <v>98</v>
      </c>
      <c r="AP2" t="s">
        <v>99</v>
      </c>
      <c r="AQ2" t="s">
        <v>100</v>
      </c>
    </row>
    <row r="3" spans="1:43" x14ac:dyDescent="0.25">
      <c r="A3" t="s">
        <v>0</v>
      </c>
      <c r="B3" t="s">
        <v>103</v>
      </c>
      <c r="C3">
        <v>0</v>
      </c>
      <c r="D3">
        <v>0</v>
      </c>
      <c r="E3">
        <v>4.8099999999999996</v>
      </c>
      <c r="F3">
        <v>0</v>
      </c>
      <c r="G3">
        <v>0</v>
      </c>
      <c r="H3">
        <v>0</v>
      </c>
      <c r="I3">
        <v>4.55</v>
      </c>
      <c r="J3">
        <v>0</v>
      </c>
      <c r="K3">
        <v>0</v>
      </c>
      <c r="L3">
        <v>0</v>
      </c>
      <c r="M3">
        <v>0</v>
      </c>
      <c r="N3">
        <v>1.62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30.72</v>
      </c>
      <c r="V3">
        <v>0</v>
      </c>
      <c r="W3">
        <v>3.23</v>
      </c>
      <c r="X3">
        <v>0.46</v>
      </c>
      <c r="Y3">
        <v>0</v>
      </c>
      <c r="Z3">
        <v>0</v>
      </c>
      <c r="AA3">
        <v>0</v>
      </c>
      <c r="AB3">
        <v>2.46</v>
      </c>
      <c r="AC3">
        <v>0</v>
      </c>
      <c r="AD3">
        <v>0</v>
      </c>
      <c r="AE3">
        <v>2.93</v>
      </c>
      <c r="AF3">
        <v>4.55</v>
      </c>
      <c r="AG3">
        <v>0</v>
      </c>
      <c r="AH3">
        <v>0</v>
      </c>
      <c r="AI3">
        <v>0</v>
      </c>
      <c r="AJ3">
        <v>2.84</v>
      </c>
      <c r="AK3">
        <v>9.9600000000000009</v>
      </c>
      <c r="AL3">
        <v>0</v>
      </c>
      <c r="AM3">
        <v>0</v>
      </c>
      <c r="AN3">
        <v>19.55</v>
      </c>
      <c r="AO3">
        <v>3.36</v>
      </c>
      <c r="AP3">
        <v>8.33</v>
      </c>
      <c r="AQ3">
        <v>0.64</v>
      </c>
    </row>
    <row r="4" spans="1:43" x14ac:dyDescent="0.25">
      <c r="A4" t="s">
        <v>1</v>
      </c>
      <c r="B4" t="s">
        <v>104</v>
      </c>
      <c r="C4">
        <v>0</v>
      </c>
      <c r="D4">
        <v>0</v>
      </c>
      <c r="E4">
        <v>11.03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0.16</v>
      </c>
      <c r="M4">
        <v>28.61</v>
      </c>
      <c r="N4">
        <v>0.33</v>
      </c>
      <c r="O4">
        <v>0</v>
      </c>
      <c r="P4">
        <v>0.28999999999999998</v>
      </c>
      <c r="Q4">
        <v>0</v>
      </c>
      <c r="R4">
        <v>0</v>
      </c>
      <c r="S4">
        <v>1.52</v>
      </c>
      <c r="T4">
        <v>2.0099999999999998</v>
      </c>
      <c r="U4">
        <v>0</v>
      </c>
      <c r="V4">
        <v>0.77</v>
      </c>
      <c r="W4">
        <v>2.8</v>
      </c>
      <c r="X4">
        <v>0</v>
      </c>
      <c r="Y4">
        <v>7.27</v>
      </c>
      <c r="Z4">
        <v>0</v>
      </c>
      <c r="AA4">
        <v>0</v>
      </c>
      <c r="AB4">
        <v>10.62</v>
      </c>
      <c r="AC4">
        <v>0</v>
      </c>
      <c r="AD4">
        <v>0.14000000000000001</v>
      </c>
      <c r="AE4">
        <v>3.87</v>
      </c>
      <c r="AF4">
        <v>0</v>
      </c>
      <c r="AG4">
        <v>0</v>
      </c>
      <c r="AH4">
        <v>0</v>
      </c>
      <c r="AI4">
        <v>0</v>
      </c>
      <c r="AJ4">
        <v>9.9499999999999993</v>
      </c>
      <c r="AK4">
        <v>0</v>
      </c>
      <c r="AL4">
        <v>0</v>
      </c>
      <c r="AM4">
        <v>0</v>
      </c>
      <c r="AN4">
        <v>18.850000000000001</v>
      </c>
      <c r="AO4">
        <v>1.1499999999999999</v>
      </c>
      <c r="AP4">
        <v>0</v>
      </c>
      <c r="AQ4">
        <v>0</v>
      </c>
    </row>
    <row r="5" spans="1:43" x14ac:dyDescent="0.25">
      <c r="A5" t="s">
        <v>2</v>
      </c>
      <c r="B5" t="s">
        <v>101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16.57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4.3</v>
      </c>
      <c r="AL5">
        <v>0</v>
      </c>
      <c r="AM5">
        <v>9.1</v>
      </c>
      <c r="AN5">
        <v>30.28</v>
      </c>
      <c r="AO5">
        <v>9.61</v>
      </c>
      <c r="AP5">
        <v>0</v>
      </c>
      <c r="AQ5">
        <v>30.64</v>
      </c>
    </row>
    <row r="6" spans="1:43" x14ac:dyDescent="0.25">
      <c r="A6" t="s">
        <v>3</v>
      </c>
      <c r="B6" t="s">
        <v>102</v>
      </c>
      <c r="C6">
        <v>0</v>
      </c>
      <c r="D6">
        <v>0</v>
      </c>
      <c r="E6">
        <v>0</v>
      </c>
      <c r="F6">
        <v>0</v>
      </c>
      <c r="G6" s="1">
        <v>1.5558974999999999</v>
      </c>
      <c r="H6" s="1">
        <v>1.559016</v>
      </c>
      <c r="I6">
        <v>0</v>
      </c>
      <c r="J6" s="1">
        <v>0</v>
      </c>
      <c r="K6" s="2">
        <v>1.5612375000000001</v>
      </c>
      <c r="L6" s="1">
        <v>0</v>
      </c>
      <c r="M6" s="1">
        <v>0</v>
      </c>
      <c r="N6" s="1">
        <v>1.7163094999999999</v>
      </c>
      <c r="O6" s="1">
        <v>1.55644</v>
      </c>
      <c r="P6" s="1">
        <v>35.430945999999999</v>
      </c>
      <c r="Q6" s="1">
        <v>1.6847989999999999</v>
      </c>
      <c r="R6" s="3">
        <v>2.0325100000000003</v>
      </c>
      <c r="S6" s="1">
        <v>2.0762800000000001</v>
      </c>
      <c r="T6" s="3">
        <v>0</v>
      </c>
      <c r="U6" s="2">
        <v>0</v>
      </c>
      <c r="V6" s="1">
        <v>1.5595625</v>
      </c>
      <c r="W6" s="1">
        <v>0</v>
      </c>
      <c r="X6" s="4">
        <v>3.28</v>
      </c>
      <c r="Y6" s="2">
        <v>23.909034999999999</v>
      </c>
      <c r="Z6" s="1">
        <v>1.5501119999999999</v>
      </c>
      <c r="AA6" s="2">
        <v>1.560327</v>
      </c>
      <c r="AB6">
        <v>0</v>
      </c>
      <c r="AC6" s="1">
        <v>1.600344</v>
      </c>
      <c r="AD6" s="1">
        <v>0</v>
      </c>
      <c r="AE6" s="1">
        <v>0</v>
      </c>
      <c r="AF6" s="2">
        <v>0</v>
      </c>
      <c r="AG6" s="2">
        <v>1.5522500000000001</v>
      </c>
      <c r="AH6" s="1">
        <v>1.557633</v>
      </c>
      <c r="AI6" s="2">
        <v>1.5501119999999999</v>
      </c>
      <c r="AJ6" s="2">
        <v>0</v>
      </c>
      <c r="AK6" s="2">
        <v>0</v>
      </c>
      <c r="AL6" s="2">
        <v>1.5551520000000001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</row>
    <row r="7" spans="1:43" x14ac:dyDescent="0.25">
      <c r="A7" t="s">
        <v>16</v>
      </c>
      <c r="B7" t="s">
        <v>64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15</v>
      </c>
      <c r="B8" t="s">
        <v>65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114</v>
      </c>
      <c r="B9" t="s">
        <v>66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123</v>
      </c>
      <c r="B10" t="s">
        <v>67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t="s">
        <v>22</v>
      </c>
      <c r="B11" t="s">
        <v>68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116</v>
      </c>
      <c r="B12" t="s">
        <v>69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122</v>
      </c>
      <c r="B13" t="s">
        <v>70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25</v>
      </c>
      <c r="B14" t="s">
        <v>71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18</v>
      </c>
      <c r="B15" t="s">
        <v>72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13</v>
      </c>
      <c r="B16" t="s">
        <v>73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121</v>
      </c>
      <c r="B17" t="s">
        <v>74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19</v>
      </c>
      <c r="B18" t="s">
        <v>75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12</v>
      </c>
      <c r="B19" t="s">
        <v>76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37</v>
      </c>
      <c r="B20" t="s">
        <v>77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t="s">
        <v>108</v>
      </c>
      <c r="B21" t="s">
        <v>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11</v>
      </c>
      <c r="B22" t="s">
        <v>79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117</v>
      </c>
      <c r="B23" t="s">
        <v>80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17</v>
      </c>
      <c r="B24" t="s">
        <v>81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t="s">
        <v>40</v>
      </c>
      <c r="B25" t="s">
        <v>82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30</v>
      </c>
      <c r="B26" t="s">
        <v>83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t="s">
        <v>28</v>
      </c>
      <c r="B27" t="s">
        <v>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t="s">
        <v>47</v>
      </c>
      <c r="B28" t="s">
        <v>85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25">
      <c r="A29" t="s">
        <v>119</v>
      </c>
      <c r="B29" t="s">
        <v>86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t="s">
        <v>105</v>
      </c>
      <c r="B30" t="s">
        <v>87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t="s">
        <v>124</v>
      </c>
      <c r="B31" t="s">
        <v>88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25">
      <c r="A32" t="s">
        <v>49</v>
      </c>
      <c r="B32" t="s">
        <v>89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5">
      <c r="A33" t="s">
        <v>36</v>
      </c>
      <c r="B33" t="s">
        <v>90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t="s">
        <v>61</v>
      </c>
      <c r="B34" t="s">
        <v>91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25">
      <c r="A35" t="s">
        <v>120</v>
      </c>
      <c r="B35" t="s">
        <v>92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25">
      <c r="A36" t="s">
        <v>59</v>
      </c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t="s">
        <v>106</v>
      </c>
      <c r="B37" t="s">
        <v>94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t="s">
        <v>62</v>
      </c>
      <c r="B38" t="s">
        <v>95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25">
      <c r="A39" t="s">
        <v>107</v>
      </c>
      <c r="B39" t="s">
        <v>96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25">
      <c r="A40" t="s">
        <v>55</v>
      </c>
      <c r="B40" t="s">
        <v>97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25">
      <c r="A41" t="s">
        <v>115</v>
      </c>
      <c r="B41" t="s">
        <v>98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25">
      <c r="A42" t="s">
        <v>118</v>
      </c>
      <c r="B42" t="s">
        <v>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25">
      <c r="A43" t="s">
        <v>125</v>
      </c>
      <c r="B43" t="s">
        <v>100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7FB6-0493-42A4-8213-971A834798F7}">
  <dimension ref="A1:AO43"/>
  <sheetViews>
    <sheetView topLeftCell="W1" workbookViewId="0">
      <selection activeCell="B1" sqref="B1:E1048576"/>
    </sheetView>
  </sheetViews>
  <sheetFormatPr defaultRowHeight="15" x14ac:dyDescent="0.25"/>
  <sheetData>
    <row r="1" spans="1:41" x14ac:dyDescent="0.25">
      <c r="B1" t="s">
        <v>0</v>
      </c>
      <c r="C1" t="s">
        <v>1</v>
      </c>
      <c r="D1" t="s">
        <v>2</v>
      </c>
      <c r="E1" t="s">
        <v>3</v>
      </c>
      <c r="F1" t="s">
        <v>16</v>
      </c>
      <c r="G1" t="s">
        <v>15</v>
      </c>
      <c r="H1" t="s">
        <v>114</v>
      </c>
      <c r="I1" t="s">
        <v>123</v>
      </c>
      <c r="J1" t="s">
        <v>22</v>
      </c>
      <c r="K1" t="s">
        <v>127</v>
      </c>
      <c r="L1" t="s">
        <v>122</v>
      </c>
      <c r="M1" t="s">
        <v>25</v>
      </c>
      <c r="N1" t="s">
        <v>18</v>
      </c>
      <c r="O1" t="s">
        <v>13</v>
      </c>
      <c r="P1" t="s">
        <v>121</v>
      </c>
      <c r="Q1" t="s">
        <v>19</v>
      </c>
      <c r="R1" t="s">
        <v>12</v>
      </c>
      <c r="S1" t="s">
        <v>14</v>
      </c>
      <c r="T1" t="s">
        <v>37</v>
      </c>
      <c r="U1" t="s">
        <v>29</v>
      </c>
      <c r="V1" t="s">
        <v>108</v>
      </c>
      <c r="W1" t="s">
        <v>11</v>
      </c>
      <c r="X1" t="s">
        <v>40</v>
      </c>
      <c r="Y1" t="s">
        <v>17</v>
      </c>
      <c r="Z1" t="s">
        <v>30</v>
      </c>
      <c r="AA1" t="s">
        <v>28</v>
      </c>
      <c r="AB1" t="s">
        <v>126</v>
      </c>
      <c r="AC1" t="s">
        <v>47</v>
      </c>
      <c r="AD1" t="s">
        <v>33</v>
      </c>
      <c r="AE1" t="s">
        <v>124</v>
      </c>
      <c r="AF1" t="s">
        <v>49</v>
      </c>
      <c r="AG1" t="s">
        <v>36</v>
      </c>
      <c r="AH1" t="s">
        <v>61</v>
      </c>
      <c r="AI1" t="s">
        <v>120</v>
      </c>
      <c r="AJ1" t="s">
        <v>59</v>
      </c>
      <c r="AK1" t="s">
        <v>106</v>
      </c>
      <c r="AL1" t="s">
        <v>55</v>
      </c>
      <c r="AM1" t="s">
        <v>115</v>
      </c>
      <c r="AN1" t="s">
        <v>118</v>
      </c>
      <c r="AO1" t="s">
        <v>125</v>
      </c>
    </row>
    <row r="2" spans="1:41" x14ac:dyDescent="0.25">
      <c r="B2" t="s">
        <v>103</v>
      </c>
      <c r="C2" t="s">
        <v>104</v>
      </c>
      <c r="D2" t="s">
        <v>101</v>
      </c>
      <c r="E2" t="s">
        <v>102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  <c r="S2" t="s">
        <v>77</v>
      </c>
      <c r="T2" t="s">
        <v>78</v>
      </c>
      <c r="U2" t="s">
        <v>79</v>
      </c>
      <c r="V2" t="s">
        <v>80</v>
      </c>
      <c r="W2" t="s">
        <v>81</v>
      </c>
      <c r="X2" t="s">
        <v>82</v>
      </c>
      <c r="Y2" t="s">
        <v>83</v>
      </c>
      <c r="Z2" t="s">
        <v>84</v>
      </c>
      <c r="AA2" t="s">
        <v>85</v>
      </c>
      <c r="AB2" t="s">
        <v>86</v>
      </c>
      <c r="AC2" t="s">
        <v>87</v>
      </c>
      <c r="AD2" t="s">
        <v>88</v>
      </c>
      <c r="AE2" t="s">
        <v>89</v>
      </c>
      <c r="AF2" t="s">
        <v>90</v>
      </c>
      <c r="AG2" t="s">
        <v>91</v>
      </c>
      <c r="AH2" t="s">
        <v>92</v>
      </c>
      <c r="AI2" t="s">
        <v>93</v>
      </c>
      <c r="AJ2" t="s">
        <v>94</v>
      </c>
      <c r="AK2" t="s">
        <v>95</v>
      </c>
      <c r="AL2" t="s">
        <v>96</v>
      </c>
      <c r="AM2" t="s">
        <v>97</v>
      </c>
      <c r="AN2" t="s">
        <v>98</v>
      </c>
      <c r="AO2" t="s">
        <v>99</v>
      </c>
    </row>
    <row r="3" spans="1:41" x14ac:dyDescent="0.25">
      <c r="A3" t="s">
        <v>103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2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15</v>
      </c>
      <c r="W3">
        <v>0</v>
      </c>
      <c r="X3">
        <v>0</v>
      </c>
      <c r="Y3">
        <v>2</v>
      </c>
      <c r="Z3">
        <v>0</v>
      </c>
      <c r="AA3">
        <v>0</v>
      </c>
      <c r="AB3">
        <v>0</v>
      </c>
      <c r="AC3">
        <v>1</v>
      </c>
      <c r="AD3">
        <v>0</v>
      </c>
      <c r="AE3">
        <v>2</v>
      </c>
      <c r="AF3">
        <v>2</v>
      </c>
      <c r="AG3">
        <v>0</v>
      </c>
      <c r="AH3">
        <v>0</v>
      </c>
      <c r="AI3">
        <v>0</v>
      </c>
      <c r="AJ3">
        <v>1</v>
      </c>
      <c r="AK3">
        <v>5</v>
      </c>
      <c r="AL3">
        <v>7</v>
      </c>
      <c r="AM3">
        <v>2</v>
      </c>
      <c r="AN3">
        <v>4</v>
      </c>
      <c r="AO3">
        <v>1</v>
      </c>
    </row>
    <row r="4" spans="1:41" x14ac:dyDescent="0.25">
      <c r="A4" t="s">
        <v>104</v>
      </c>
      <c r="B4">
        <v>0</v>
      </c>
      <c r="C4">
        <v>0</v>
      </c>
      <c r="D4">
        <v>15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44</v>
      </c>
      <c r="M4">
        <v>1</v>
      </c>
      <c r="N4">
        <v>0</v>
      </c>
      <c r="O4">
        <v>2</v>
      </c>
      <c r="P4">
        <v>7</v>
      </c>
      <c r="Q4">
        <v>0</v>
      </c>
      <c r="R4">
        <v>7</v>
      </c>
      <c r="S4">
        <v>0</v>
      </c>
      <c r="T4">
        <v>4</v>
      </c>
      <c r="U4">
        <v>82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15</v>
      </c>
      <c r="AD4">
        <v>0</v>
      </c>
      <c r="AE4">
        <v>2</v>
      </c>
      <c r="AF4">
        <v>2</v>
      </c>
      <c r="AG4">
        <v>0</v>
      </c>
      <c r="AH4">
        <v>0</v>
      </c>
      <c r="AI4">
        <v>0</v>
      </c>
      <c r="AJ4">
        <v>11</v>
      </c>
      <c r="AK4">
        <v>0</v>
      </c>
      <c r="AL4">
        <v>59</v>
      </c>
      <c r="AM4">
        <v>5</v>
      </c>
      <c r="AN4">
        <v>0</v>
      </c>
      <c r="AO4">
        <v>0</v>
      </c>
    </row>
    <row r="5" spans="1:41" x14ac:dyDescent="0.25">
      <c r="A5" t="s">
        <v>101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46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119</v>
      </c>
      <c r="AL5">
        <v>5</v>
      </c>
      <c r="AM5">
        <v>4</v>
      </c>
      <c r="AN5">
        <v>0</v>
      </c>
      <c r="AO5">
        <v>6</v>
      </c>
    </row>
    <row r="6" spans="1:41" x14ac:dyDescent="0.25">
      <c r="A6" t="s">
        <v>102</v>
      </c>
      <c r="B6">
        <v>0</v>
      </c>
      <c r="C6">
        <v>0</v>
      </c>
      <c r="D6" s="7">
        <v>0</v>
      </c>
      <c r="E6">
        <v>0</v>
      </c>
      <c r="F6" s="5">
        <v>25</v>
      </c>
      <c r="G6" s="5">
        <v>71</v>
      </c>
      <c r="H6" s="6">
        <v>0</v>
      </c>
      <c r="I6" s="5">
        <v>0</v>
      </c>
      <c r="J6" s="5">
        <v>14</v>
      </c>
      <c r="K6" s="7">
        <v>0</v>
      </c>
      <c r="L6" s="5">
        <v>0</v>
      </c>
      <c r="M6" s="5">
        <v>13</v>
      </c>
      <c r="N6" s="5">
        <v>3</v>
      </c>
      <c r="O6" s="5">
        <v>2001</v>
      </c>
      <c r="P6" s="8">
        <v>1.6847989999999999</v>
      </c>
      <c r="Q6" s="5">
        <v>170</v>
      </c>
      <c r="R6" s="8">
        <v>126</v>
      </c>
      <c r="S6" s="6">
        <v>684</v>
      </c>
      <c r="T6" s="5">
        <v>0</v>
      </c>
      <c r="U6" s="7">
        <v>2934</v>
      </c>
      <c r="V6" s="5">
        <v>0</v>
      </c>
      <c r="W6" s="7">
        <v>11</v>
      </c>
      <c r="X6" s="7">
        <v>51</v>
      </c>
      <c r="Y6" s="9">
        <v>120</v>
      </c>
      <c r="Z6" s="7">
        <v>2</v>
      </c>
      <c r="AA6" s="5">
        <v>91</v>
      </c>
      <c r="AB6" s="5">
        <v>0</v>
      </c>
      <c r="AC6" s="7">
        <v>0</v>
      </c>
      <c r="AD6" s="5">
        <v>21</v>
      </c>
      <c r="AE6" s="7">
        <v>0</v>
      </c>
      <c r="AF6" s="7">
        <v>0</v>
      </c>
      <c r="AG6" s="5">
        <v>2</v>
      </c>
      <c r="AH6" s="7">
        <v>4</v>
      </c>
      <c r="AI6" s="7">
        <v>1</v>
      </c>
      <c r="AJ6" s="7">
        <v>0</v>
      </c>
      <c r="AK6" s="7">
        <v>0</v>
      </c>
      <c r="AL6" s="7">
        <v>1</v>
      </c>
      <c r="AM6" s="7">
        <v>0</v>
      </c>
      <c r="AN6" s="7">
        <v>0</v>
      </c>
      <c r="AO6" s="7">
        <v>0</v>
      </c>
    </row>
    <row r="7" spans="1:41" x14ac:dyDescent="0.25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5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5">
      <c r="A9" t="s">
        <v>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5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5">
      <c r="A11" t="s">
        <v>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5">
      <c r="A12" t="s">
        <v>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5">
      <c r="A13" t="s">
        <v>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5">
      <c r="A14" t="s">
        <v>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25">
      <c r="A15" t="s">
        <v>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25">
      <c r="A16" t="s">
        <v>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25">
      <c r="A17" t="s">
        <v>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25">
      <c r="A18" t="s">
        <v>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25">
      <c r="A19" t="s">
        <v>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5">
      <c r="A20" t="s">
        <v>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25">
      <c r="A21" t="s">
        <v>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25">
      <c r="A22" t="s">
        <v>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25">
      <c r="A23" t="s">
        <v>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5">
      <c r="A24" t="s">
        <v>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5">
      <c r="A25" t="s">
        <v>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25">
      <c r="A26" t="s">
        <v>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25">
      <c r="A27" t="s">
        <v>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5">
      <c r="A28" t="s">
        <v>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25">
      <c r="A29" t="s">
        <v>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25">
      <c r="A30" t="s">
        <v>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25">
      <c r="A31" t="s">
        <v>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25">
      <c r="A32" t="s">
        <v>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25">
      <c r="A33" t="s">
        <v>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25">
      <c r="A34" t="s">
        <v>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25">
      <c r="A35" t="s">
        <v>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25">
      <c r="A36" t="s">
        <v>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25">
      <c r="A37" t="s">
        <v>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 x14ac:dyDescent="0.25">
      <c r="A38" t="s">
        <v>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 x14ac:dyDescent="0.25">
      <c r="A39" t="s">
        <v>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25">
      <c r="A40" t="s">
        <v>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x14ac:dyDescent="0.25">
      <c r="A41" t="s">
        <v>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 x14ac:dyDescent="0.25">
      <c r="A42" t="s">
        <v>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 x14ac:dyDescent="0.25">
      <c r="A43" t="s">
        <v>100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0171-818C-4F2D-A552-68966928B7AC}">
  <dimension ref="A1:X24"/>
  <sheetViews>
    <sheetView workbookViewId="0">
      <selection activeCell="J17" sqref="J17"/>
    </sheetView>
  </sheetViews>
  <sheetFormatPr defaultRowHeight="15" x14ac:dyDescent="0.25"/>
  <cols>
    <col min="1" max="1" width="19.140625" bestFit="1" customWidth="1"/>
  </cols>
  <sheetData>
    <row r="1" spans="1:24" x14ac:dyDescent="0.25">
      <c r="C1" t="s">
        <v>0</v>
      </c>
      <c r="D1" t="s">
        <v>1</v>
      </c>
      <c r="E1" t="s">
        <v>2</v>
      </c>
      <c r="F1" t="s">
        <v>3</v>
      </c>
      <c r="G1" s="12" t="s">
        <v>134</v>
      </c>
      <c r="H1" s="11" t="s">
        <v>130</v>
      </c>
      <c r="I1" s="13" t="s">
        <v>131</v>
      </c>
      <c r="J1" s="14" t="s">
        <v>132</v>
      </c>
      <c r="K1" s="15" t="s">
        <v>133</v>
      </c>
      <c r="L1" t="s">
        <v>114</v>
      </c>
      <c r="M1" t="s">
        <v>123</v>
      </c>
      <c r="N1" t="s">
        <v>122</v>
      </c>
      <c r="O1" t="s">
        <v>37</v>
      </c>
      <c r="P1" t="s">
        <v>108</v>
      </c>
      <c r="Q1" t="s">
        <v>47</v>
      </c>
      <c r="R1" t="s">
        <v>124</v>
      </c>
      <c r="S1" t="s">
        <v>49</v>
      </c>
      <c r="T1" t="s">
        <v>59</v>
      </c>
      <c r="U1" t="s">
        <v>106</v>
      </c>
      <c r="V1" t="s">
        <v>55</v>
      </c>
      <c r="W1" t="s">
        <v>115</v>
      </c>
      <c r="X1" t="s">
        <v>118</v>
      </c>
    </row>
    <row r="2" spans="1:24" x14ac:dyDescent="0.25">
      <c r="C2" t="s">
        <v>103</v>
      </c>
      <c r="D2" t="s">
        <v>104</v>
      </c>
      <c r="E2" t="s">
        <v>101</v>
      </c>
      <c r="F2" t="s">
        <v>102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 t="s">
        <v>81</v>
      </c>
    </row>
    <row r="3" spans="1:24" x14ac:dyDescent="0.25">
      <c r="A3" t="s">
        <v>0</v>
      </c>
      <c r="B3" t="s">
        <v>103</v>
      </c>
      <c r="C3">
        <v>0</v>
      </c>
      <c r="D3">
        <v>0</v>
      </c>
      <c r="E3">
        <v>4.8499999999999996</v>
      </c>
      <c r="F3">
        <v>0</v>
      </c>
      <c r="G3">
        <v>2.12</v>
      </c>
      <c r="H3">
        <v>0.04</v>
      </c>
      <c r="I3">
        <v>0.04</v>
      </c>
      <c r="J3">
        <v>3.27</v>
      </c>
      <c r="K3">
        <v>0.04</v>
      </c>
      <c r="L3">
        <v>4.59</v>
      </c>
      <c r="M3">
        <v>0.04</v>
      </c>
      <c r="N3">
        <v>0.04</v>
      </c>
      <c r="O3">
        <v>0.04</v>
      </c>
      <c r="P3">
        <v>30.759999999999998</v>
      </c>
      <c r="Q3">
        <v>2.5</v>
      </c>
      <c r="R3">
        <v>2.97</v>
      </c>
      <c r="S3">
        <v>4.59</v>
      </c>
      <c r="T3">
        <v>2.88</v>
      </c>
      <c r="U3">
        <v>10</v>
      </c>
      <c r="V3">
        <v>19.59</v>
      </c>
      <c r="W3">
        <v>3.4</v>
      </c>
      <c r="X3">
        <v>8.3699999999999992</v>
      </c>
    </row>
    <row r="4" spans="1:24" x14ac:dyDescent="0.25">
      <c r="A4" t="s">
        <v>1</v>
      </c>
      <c r="B4" t="s">
        <v>104</v>
      </c>
      <c r="C4">
        <v>0</v>
      </c>
      <c r="D4">
        <v>0</v>
      </c>
      <c r="E4">
        <v>11.03</v>
      </c>
      <c r="F4">
        <v>0</v>
      </c>
      <c r="G4">
        <v>7.88</v>
      </c>
      <c r="H4">
        <v>1.51</v>
      </c>
      <c r="I4">
        <v>0.31</v>
      </c>
      <c r="J4">
        <v>2.7</v>
      </c>
      <c r="K4">
        <v>0.13</v>
      </c>
      <c r="L4">
        <v>0</v>
      </c>
      <c r="M4">
        <v>0</v>
      </c>
      <c r="N4">
        <v>28.41</v>
      </c>
      <c r="O4">
        <v>2.0099999999999998</v>
      </c>
      <c r="P4">
        <v>0</v>
      </c>
      <c r="Q4">
        <v>10.42</v>
      </c>
      <c r="R4">
        <v>2.8</v>
      </c>
      <c r="S4">
        <v>4.4000000000000004</v>
      </c>
      <c r="T4">
        <v>9</v>
      </c>
      <c r="U4">
        <v>0</v>
      </c>
      <c r="V4">
        <v>18.45</v>
      </c>
      <c r="W4">
        <v>1.02</v>
      </c>
      <c r="X4">
        <v>0</v>
      </c>
    </row>
    <row r="5" spans="1:24" x14ac:dyDescent="0.25">
      <c r="A5" t="s">
        <v>2</v>
      </c>
      <c r="B5" t="s">
        <v>101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15.228</v>
      </c>
      <c r="L5">
        <v>0</v>
      </c>
      <c r="M5">
        <v>22.698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10.428000000000001</v>
      </c>
      <c r="V5">
        <v>36.408000000000001</v>
      </c>
      <c r="W5">
        <v>15.738</v>
      </c>
      <c r="X5">
        <v>0</v>
      </c>
    </row>
    <row r="6" spans="1:24" x14ac:dyDescent="0.25">
      <c r="A6" t="s">
        <v>3</v>
      </c>
      <c r="B6" t="s">
        <v>102</v>
      </c>
      <c r="C6">
        <v>0</v>
      </c>
      <c r="D6">
        <v>0</v>
      </c>
      <c r="E6">
        <v>0</v>
      </c>
      <c r="F6">
        <v>0</v>
      </c>
      <c r="G6">
        <v>82.046181500000003</v>
      </c>
      <c r="H6">
        <v>4.4580000000000002</v>
      </c>
      <c r="I6">
        <v>0</v>
      </c>
      <c r="J6">
        <v>5.6180000000000003</v>
      </c>
      <c r="K6">
        <v>5.4980000000000002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2.3831519999999999</v>
      </c>
      <c r="W6">
        <v>0</v>
      </c>
      <c r="X6">
        <v>0</v>
      </c>
    </row>
    <row r="7" spans="1:24" x14ac:dyDescent="0.25">
      <c r="A7" s="12" t="s">
        <v>134</v>
      </c>
      <c r="B7" t="s">
        <v>64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25">
      <c r="A8" s="11" t="s">
        <v>130</v>
      </c>
      <c r="B8" t="s">
        <v>65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5">
      <c r="A9" s="13" t="s">
        <v>131</v>
      </c>
      <c r="B9" t="s">
        <v>66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5">
      <c r="A10" s="14" t="s">
        <v>132</v>
      </c>
      <c r="B10" t="s">
        <v>67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25">
      <c r="A11" s="15" t="s">
        <v>133</v>
      </c>
      <c r="B11" t="s">
        <v>68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25">
      <c r="A12" t="s">
        <v>114</v>
      </c>
      <c r="B12" t="s">
        <v>69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25">
      <c r="A13" t="s">
        <v>123</v>
      </c>
      <c r="B13" t="s">
        <v>70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25">
      <c r="A14" t="s">
        <v>122</v>
      </c>
      <c r="B14" t="s">
        <v>71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25">
      <c r="A15" t="s">
        <v>37</v>
      </c>
      <c r="B15" t="s">
        <v>72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25">
      <c r="A16" t="s">
        <v>108</v>
      </c>
      <c r="B16" t="s">
        <v>73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25">
      <c r="A17" t="s">
        <v>47</v>
      </c>
      <c r="B17" t="s">
        <v>74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25">
      <c r="A18" t="s">
        <v>124</v>
      </c>
      <c r="B18" t="s">
        <v>75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25">
      <c r="A19" t="s">
        <v>49</v>
      </c>
      <c r="B19" t="s">
        <v>76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25">
      <c r="A20" t="s">
        <v>59</v>
      </c>
      <c r="B20" t="s">
        <v>77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25">
      <c r="A21" t="s">
        <v>106</v>
      </c>
      <c r="B21" t="s">
        <v>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 t="s">
        <v>55</v>
      </c>
      <c r="B22" t="s">
        <v>79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5">
      <c r="A23" t="s">
        <v>115</v>
      </c>
      <c r="B23" t="s">
        <v>80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5">
      <c r="A24" t="s">
        <v>118</v>
      </c>
      <c r="B24" t="s">
        <v>81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</sheetData>
  <phoneticPr fontId="1" type="noConversion"/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Planilha2</vt:lpstr>
      <vt:lpstr>agora vai</vt:lpstr>
      <vt:lpstr>geral</vt:lpstr>
      <vt:lpstr>PSi</vt:lpstr>
      <vt:lpstr>psiri_mod</vt:lpstr>
      <vt:lpstr>ordem</vt:lpstr>
      <vt:lpstr>quadratica</vt:lpstr>
      <vt:lpstr>quadratica2</vt:lpstr>
      <vt:lpstr>quadratica_mof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Karoline  Ceron</cp:lastModifiedBy>
  <dcterms:created xsi:type="dcterms:W3CDTF">2022-06-18T12:27:46Z</dcterms:created>
  <dcterms:modified xsi:type="dcterms:W3CDTF">2025-12-05T12:36:44Z</dcterms:modified>
</cp:coreProperties>
</file>